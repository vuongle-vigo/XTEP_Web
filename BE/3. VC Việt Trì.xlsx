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ến.2021\Lương\Lương Setup\BẢNG LƯƠNG CHI TIẾT - MẪU\"/>
    </mc:Choice>
  </mc:AlternateContent>
  <bookViews>
    <workbookView xWindow="0" yWindow="0" windowWidth="13725" windowHeight="11940" firstSheet="1" activeTab="5"/>
  </bookViews>
  <sheets>
    <sheet name="Kangatang" sheetId="14" state="veryHidden" r:id="rId1"/>
    <sheet name="ThongKe" sheetId="15" r:id="rId2"/>
    <sheet name="BẢNG CÔNG " sheetId="2" r:id="rId3"/>
    <sheet name="TĂNG CA" sheetId="3" r:id="rId4"/>
    <sheet name="HOA HỒNG " sheetId="8" r:id="rId5"/>
    <sheet name="BẢNG LƯƠNG" sheetId="12" r:id="rId6"/>
  </sheets>
  <externalReferences>
    <externalReference r:id="rId7"/>
  </externalReferences>
  <definedNames>
    <definedName name="_xlnm.Print_Area" localSheetId="2">'BẢNG CÔNG '!$A$1:$AR$241</definedName>
    <definedName name="_xlnm.Print_Area" localSheetId="4">'HOA HỒNG '!$A$1:$K$30</definedName>
    <definedName name="_xlnm.Print_Area" localSheetId="3">'TĂNG CA'!$A$1:$AT$242</definedName>
  </definedNames>
  <calcPr calcId="162913"/>
</workbook>
</file>

<file path=xl/calcChain.xml><?xml version="1.0" encoding="utf-8"?>
<calcChain xmlns="http://schemas.openxmlformats.org/spreadsheetml/2006/main">
  <c r="Z15" i="12" l="1"/>
  <c r="L16" i="12"/>
  <c r="M16" i="12"/>
  <c r="O16" i="12"/>
  <c r="AF16" i="12"/>
  <c r="K16" i="12"/>
  <c r="AA15" i="12"/>
  <c r="AC15" i="12"/>
  <c r="AD15" i="12"/>
  <c r="V15" i="12"/>
  <c r="W15" i="12"/>
  <c r="X15" i="12"/>
  <c r="U15" i="12"/>
  <c r="T15" i="12"/>
  <c r="S15" i="12"/>
  <c r="Q15" i="12"/>
  <c r="M15" i="12"/>
  <c r="O15" i="12" s="1"/>
  <c r="AB15" i="12" l="1"/>
  <c r="AE15" i="12"/>
  <c r="I15" i="12"/>
  <c r="F15" i="12"/>
  <c r="AO10" i="3"/>
  <c r="AP10" i="3"/>
  <c r="AQ10" i="3"/>
  <c r="AI10" i="3"/>
  <c r="AM10" i="3" s="1"/>
  <c r="AK10" i="2"/>
  <c r="AJ10" i="2"/>
  <c r="AI10" i="2"/>
  <c r="AN10" i="3" l="1"/>
  <c r="AR10" i="3" s="1"/>
  <c r="AM10" i="2"/>
  <c r="AN10" i="2" s="1"/>
  <c r="AP10" i="2" s="1"/>
  <c r="R15" i="12" s="1"/>
  <c r="G15" i="12"/>
  <c r="J15" i="12" s="1"/>
  <c r="P15" i="12"/>
  <c r="AI7" i="2"/>
  <c r="AI8" i="2"/>
  <c r="AI9" i="2"/>
  <c r="AI6" i="2"/>
  <c r="N15" i="12" l="1"/>
  <c r="Y15" i="12" s="1"/>
  <c r="AG15" i="12" s="1"/>
  <c r="AH15" i="12" s="1"/>
  <c r="D15" i="8"/>
  <c r="AI6" i="3" l="1"/>
  <c r="AN6" i="3" s="1"/>
  <c r="AQ9" i="3" l="1"/>
  <c r="AO9" i="3"/>
  <c r="AQ8" i="3"/>
  <c r="AO8" i="3"/>
  <c r="AQ7" i="3"/>
  <c r="AO7" i="3"/>
  <c r="AQ6" i="3"/>
  <c r="AO6" i="3"/>
  <c r="AP7" i="3"/>
  <c r="AP8" i="3"/>
  <c r="AP9" i="3"/>
  <c r="AP6" i="3"/>
  <c r="G15" i="8" l="1"/>
  <c r="W13" i="12" l="1"/>
  <c r="W14" i="12"/>
  <c r="F8" i="8" l="1"/>
  <c r="E22" i="8" l="1"/>
  <c r="E15" i="8"/>
  <c r="F14" i="8" s="1"/>
  <c r="I14" i="8"/>
  <c r="I13" i="8"/>
  <c r="I12" i="8"/>
  <c r="I11" i="8"/>
  <c r="F11" i="8" l="1"/>
  <c r="F12" i="8"/>
  <c r="F13" i="8"/>
  <c r="E20" i="8"/>
  <c r="E21" i="8"/>
  <c r="E23" i="8" l="1"/>
  <c r="J9" i="8" s="1"/>
  <c r="T12" i="12" l="1"/>
  <c r="T13" i="12"/>
  <c r="T14" i="12"/>
  <c r="T11" i="12"/>
  <c r="AI7" i="3"/>
  <c r="AJ7" i="2"/>
  <c r="AK7" i="2"/>
  <c r="I12" i="12" s="1"/>
  <c r="T16" i="12" l="1"/>
  <c r="AN7" i="3"/>
  <c r="AM7" i="3"/>
  <c r="AM7" i="2"/>
  <c r="AN7" i="2" s="1"/>
  <c r="H12" i="8" s="1"/>
  <c r="AC12" i="12"/>
  <c r="AD12" i="12"/>
  <c r="AC13" i="12"/>
  <c r="AD13" i="12"/>
  <c r="AC14" i="12"/>
  <c r="AD14" i="12"/>
  <c r="AD11" i="12"/>
  <c r="AC11" i="12"/>
  <c r="W12" i="12"/>
  <c r="W11" i="12"/>
  <c r="W16" i="12" l="1"/>
  <c r="AC16" i="12"/>
  <c r="AD16" i="12"/>
  <c r="AR7" i="3"/>
  <c r="U12" i="12" s="1"/>
  <c r="G12" i="12"/>
  <c r="AP7" i="2"/>
  <c r="R12" i="12" s="1"/>
  <c r="J12" i="12" l="1"/>
  <c r="F14" i="12"/>
  <c r="Q14" i="12" s="1"/>
  <c r="M14" i="12"/>
  <c r="AJ6" i="2" l="1"/>
  <c r="AK6" i="2"/>
  <c r="I11" i="12" s="1"/>
  <c r="AR6" i="3" l="1"/>
  <c r="U11" i="12" s="1"/>
  <c r="AM6" i="3"/>
  <c r="AM6" i="2"/>
  <c r="AN6" i="2" s="1"/>
  <c r="H11" i="8" s="1"/>
  <c r="G11" i="12" l="1"/>
  <c r="J11" i="8"/>
  <c r="AP6" i="2"/>
  <c r="R11" i="12" s="1"/>
  <c r="J11" i="12" l="1"/>
  <c r="E24" i="8"/>
  <c r="E25" i="8" s="1"/>
  <c r="J10" i="8" s="1"/>
  <c r="J13" i="8" l="1"/>
  <c r="S13" i="12" s="1"/>
  <c r="J12" i="8"/>
  <c r="J14" i="8"/>
  <c r="S14" i="12" s="1"/>
  <c r="J15" i="8" l="1"/>
  <c r="S12" i="12"/>
  <c r="AI8" i="3"/>
  <c r="AN8" i="3" s="1"/>
  <c r="AI9" i="3"/>
  <c r="AN9" i="3" s="1"/>
  <c r="AJ8" i="2"/>
  <c r="AJ9" i="2"/>
  <c r="AM9" i="3" l="1"/>
  <c r="AM8" i="3"/>
  <c r="AK9" i="2"/>
  <c r="AM9" i="2" l="1"/>
  <c r="AN9" i="2" s="1"/>
  <c r="AP9" i="2" l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l="1"/>
  <c r="AF4" i="2" s="1"/>
  <c r="AG4" i="2" s="1"/>
  <c r="AH4" i="2" s="1"/>
  <c r="AH5" i="2" s="1"/>
  <c r="O14" i="12"/>
  <c r="AK8" i="2"/>
  <c r="I14" i="12" s="1"/>
  <c r="P14" i="12" l="1"/>
  <c r="I13" i="12"/>
  <c r="P12" i="12"/>
  <c r="P11" i="12"/>
  <c r="P13" i="12" l="1"/>
  <c r="P16" i="12" s="1"/>
  <c r="M13" i="12"/>
  <c r="F13" i="12"/>
  <c r="Q13" i="12" s="1"/>
  <c r="AR9" i="3" l="1"/>
  <c r="O13" i="12" l="1"/>
  <c r="AM8" i="2" l="1"/>
  <c r="F12" i="12" l="1"/>
  <c r="Q12" i="12" s="1"/>
  <c r="M12" i="12"/>
  <c r="O12" i="12" l="1"/>
  <c r="M11" i="12" l="1"/>
  <c r="F11" i="12" l="1"/>
  <c r="Q11" i="12" s="1"/>
  <c r="Q16" i="12" s="1"/>
  <c r="O11" i="12" l="1"/>
  <c r="AN8" i="2" l="1"/>
  <c r="H14" i="8" l="1"/>
  <c r="G14" i="12"/>
  <c r="G13" i="12"/>
  <c r="H13" i="8"/>
  <c r="AP8" i="2"/>
  <c r="N11" i="12"/>
  <c r="R13" i="12" l="1"/>
  <c r="R14" i="12"/>
  <c r="N14" i="12"/>
  <c r="J14" i="12"/>
  <c r="N13" i="12"/>
  <c r="J13" i="12"/>
  <c r="R16" i="12" l="1"/>
  <c r="N12" i="12"/>
  <c r="N16" i="12" s="1"/>
  <c r="E4" i="3" l="1"/>
  <c r="E5" i="3" s="1"/>
  <c r="D5" i="3"/>
  <c r="D5" i="2"/>
  <c r="S11" i="12" l="1"/>
  <c r="S16" i="12" s="1"/>
  <c r="AR8" i="3"/>
  <c r="U14" i="12" s="1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H5" i="3" s="1"/>
  <c r="F5" i="2"/>
  <c r="E5" i="2"/>
  <c r="U13" i="12" l="1"/>
  <c r="U16" i="12" s="1"/>
  <c r="G5" i="3"/>
  <c r="T5" i="3"/>
  <c r="I5" i="3"/>
  <c r="AC5" i="3"/>
  <c r="F5" i="3"/>
  <c r="M5" i="3"/>
  <c r="Z5" i="3"/>
  <c r="O5" i="3"/>
  <c r="J5" i="3"/>
  <c r="L5" i="3"/>
  <c r="Y5" i="3"/>
  <c r="K5" i="3"/>
  <c r="AA5" i="3"/>
  <c r="V5" i="3"/>
  <c r="S5" i="3"/>
  <c r="AF5" i="3"/>
  <c r="U5" i="3"/>
  <c r="P5" i="3"/>
  <c r="R5" i="3"/>
  <c r="X5" i="3"/>
  <c r="AE5" i="3"/>
  <c r="W5" i="3"/>
  <c r="AG5" i="3"/>
  <c r="AB5" i="3"/>
  <c r="AD5" i="3"/>
  <c r="N5" i="3"/>
  <c r="H5" i="3"/>
  <c r="Q5" i="3"/>
  <c r="G5" i="2"/>
  <c r="H5" i="2" l="1"/>
  <c r="I5" i="2" l="1"/>
  <c r="J5" i="2" l="1"/>
  <c r="K5" i="2" l="1"/>
  <c r="L5" i="2" l="1"/>
  <c r="M5" i="2" l="1"/>
  <c r="N5" i="2" l="1"/>
  <c r="O5" i="2" l="1"/>
  <c r="P5" i="2" l="1"/>
  <c r="Q5" i="2" l="1"/>
  <c r="R5" i="2" l="1"/>
  <c r="S5" i="2" l="1"/>
  <c r="T5" i="2" l="1"/>
  <c r="U5" i="2" l="1"/>
  <c r="V5" i="2" l="1"/>
  <c r="W5" i="2" l="1"/>
  <c r="X5" i="2" l="1"/>
  <c r="Y5" i="2" l="1"/>
  <c r="Z5" i="2" l="1"/>
  <c r="AA5" i="2" l="1"/>
  <c r="AB5" i="2" l="1"/>
  <c r="AC5" i="2" l="1"/>
  <c r="AD5" i="2" l="1"/>
  <c r="AE5" i="2" l="1"/>
  <c r="AF5" i="2" l="1"/>
  <c r="AG5" i="2" l="1"/>
  <c r="Y14" i="12" l="1"/>
  <c r="Y13" i="12" l="1"/>
  <c r="Y12" i="12" l="1"/>
  <c r="X11" i="12" l="1"/>
  <c r="X12" i="12"/>
  <c r="X13" i="12"/>
  <c r="X14" i="12"/>
  <c r="X16" i="12" l="1"/>
  <c r="V11" i="12" l="1"/>
  <c r="V12" i="12"/>
  <c r="V13" i="12"/>
  <c r="V14" i="12"/>
  <c r="V16" i="12" l="1"/>
  <c r="Y11" i="12"/>
  <c r="Y16" i="12" s="1"/>
  <c r="AA12" i="12" l="1"/>
  <c r="Z12" i="12" l="1"/>
  <c r="Z11" i="12" l="1"/>
  <c r="AA11" i="12"/>
  <c r="AB12" i="12"/>
  <c r="AE12" i="12" s="1"/>
  <c r="AG12" i="12" s="1"/>
  <c r="AH12" i="12" s="1"/>
  <c r="AA14" i="12" l="1"/>
  <c r="Z14" i="12" l="1"/>
  <c r="Z13" i="12" l="1"/>
  <c r="Z16" i="12" s="1"/>
  <c r="AA13" i="12"/>
  <c r="AA16" i="12" s="1"/>
  <c r="AB14" i="12" l="1"/>
  <c r="AE14" i="12" s="1"/>
  <c r="AG14" i="12" s="1"/>
  <c r="AH14" i="12" s="1"/>
  <c r="AB13" i="12" l="1"/>
  <c r="AE13" i="12" s="1"/>
  <c r="AG13" i="12" s="1"/>
  <c r="AH13" i="12" s="1"/>
  <c r="AB11" i="12" l="1"/>
  <c r="AE11" i="12" l="1"/>
  <c r="AB16" i="12"/>
  <c r="AE16" i="12" l="1"/>
  <c r="AG11" i="12"/>
  <c r="AH11" i="12" l="1"/>
  <c r="AH16" i="12" s="1"/>
  <c r="AG16" i="12"/>
</calcChain>
</file>

<file path=xl/comments1.xml><?xml version="1.0" encoding="utf-8"?>
<comments xmlns="http://schemas.openxmlformats.org/spreadsheetml/2006/main">
  <authors>
    <author>YEN</author>
  </authors>
  <commentList>
    <comment ref="AI4" authorId="0" shapeId="0">
      <text>
        <r>
          <rPr>
            <b/>
            <sz val="9"/>
            <rFont val="Tahoma"/>
            <family val="2"/>
          </rPr>
          <t>Tổng số ngày làm việc trong tháng</t>
        </r>
        <r>
          <rPr>
            <sz val="9"/>
            <rFont val="Tahoma"/>
            <family val="2"/>
          </rPr>
          <t xml:space="preserve">
</t>
        </r>
      </text>
    </comment>
    <comment ref="AJ4" authorId="0" shapeId="0">
      <text>
        <r>
          <rPr>
            <sz val="9"/>
            <rFont val="Tahoma"/>
            <family val="2"/>
          </rPr>
          <t xml:space="preserve">Điền số ngày nghỉ phép và nghỉ hưởng lương như nghỉ lễ, nghỉ kết hôn, tang lễ,...
</t>
        </r>
      </text>
    </comment>
    <comment ref="AL4" authorId="0" shapeId="0">
      <text>
        <r>
          <rPr>
            <sz val="9"/>
            <rFont val="Tahoma"/>
            <family val="2"/>
          </rPr>
          <t>Điền số ngày lễ có đi làm trong tháng</t>
        </r>
      </text>
    </comment>
  </commentList>
</comments>
</file>

<file path=xl/comments2.xml><?xml version="1.0" encoding="utf-8"?>
<comments xmlns="http://schemas.openxmlformats.org/spreadsheetml/2006/main">
  <authors>
    <author>YEN</author>
  </authors>
  <commentList>
    <comment ref="E24" authorId="0" shapeId="0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của CHT và Thu ngân</t>
        </r>
      </text>
    </comment>
  </commentList>
</comments>
</file>

<file path=xl/comments3.xml><?xml version="1.0" encoding="utf-8"?>
<comments xmlns="http://schemas.openxmlformats.org/spreadsheetml/2006/main">
  <authors>
    <author>YEN</author>
  </authors>
  <commentList>
    <comment ref="E13" authorId="0" shapeId="0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TC từ T7.2023
CC từ T1.2024</t>
        </r>
      </text>
    </comment>
  </commentList>
</comments>
</file>

<file path=xl/sharedStrings.xml><?xml version="1.0" encoding="utf-8"?>
<sst xmlns="http://schemas.openxmlformats.org/spreadsheetml/2006/main" count="492" uniqueCount="220">
  <si>
    <t>STT</t>
  </si>
  <si>
    <t>HỌ VÀ TÊN</t>
  </si>
  <si>
    <t>CHỨC VỤ</t>
  </si>
  <si>
    <t>Ngày đi làm</t>
  </si>
  <si>
    <t>TỔNG CÔNG THEO GIỜ</t>
  </si>
  <si>
    <t>TỔNG CÔNG THEO NGÀY</t>
  </si>
  <si>
    <t>Xác nhận</t>
  </si>
  <si>
    <t>Ghi chú</t>
  </si>
  <si>
    <t>P. HCNS</t>
  </si>
  <si>
    <t>QL KHỐI CỬA HÀNG</t>
  </si>
  <si>
    <t>NGƯỜI LẬP</t>
  </si>
  <si>
    <t>Công chuẩn</t>
  </si>
  <si>
    <t>PHÒNG BAN</t>
  </si>
  <si>
    <t>Tăng ca ngày thường</t>
  </si>
  <si>
    <t>Tăng ca ngày lễ</t>
  </si>
  <si>
    <t>Tổng số giờ tăng ca</t>
  </si>
  <si>
    <t>Tổng số tiền tăng ca</t>
  </si>
  <si>
    <t xml:space="preserve">GIÁM ĐỐC </t>
  </si>
  <si>
    <t>QL. KHỐI CỬA HÀNG</t>
  </si>
  <si>
    <t>NGƯỜI LẬP BIỂU</t>
  </si>
  <si>
    <t xml:space="preserve">CÔNG TY TNHH ĐẦU TƯ VIỆT BỘ </t>
  </si>
  <si>
    <t>MST:0108729006</t>
  </si>
  <si>
    <t xml:space="preserve">Họ và tên </t>
  </si>
  <si>
    <t xml:space="preserve">Chức vụ </t>
  </si>
  <si>
    <t>%Đạt</t>
  </si>
  <si>
    <t xml:space="preserve">Hệ số chức vụ </t>
  </si>
  <si>
    <t>Ngày công thực tế</t>
  </si>
  <si>
    <t>Ngày công chuẩn</t>
  </si>
  <si>
    <t xml:space="preserve">Lương doanh số </t>
  </si>
  <si>
    <t>Ký tên</t>
  </si>
  <si>
    <t xml:space="preserve">TỔNG </t>
  </si>
  <si>
    <t xml:space="preserve">CÔNG THỨC TÍNH HH CỦA NHÂN VIÊN CỬA HÀNG </t>
  </si>
  <si>
    <t>1. Hoa hồng của cá nhân nhân viên không phải NVBH= Hoa hồng của cả cửa hàng ÷ Tổng hệ số cả cửa hàng X Hệ số tương ứng với chức vụ X Ngày công thực tế ÷ Ngày công chuẩn
Hoa hồng được tính khi ngày công thực tế &gt;= 7 ngày</t>
  </si>
  <si>
    <t>2. Hoa hồng của cá nhân nhân viên bán hàng= (Hoa hồng cả cửa hàng – Hoa hồng của nhân viên không phải NVBH)× tỉ lệ bán hàng của cá nhân</t>
  </si>
  <si>
    <t>Tỉ lệ hoa hồng dưới mức 100%</t>
  </si>
  <si>
    <t>Tỉ lệ hoa hồng vượt mức 100%</t>
  </si>
  <si>
    <t>Tổng Hoa hồng của cả cửa hàng</t>
  </si>
  <si>
    <t>Tổng Hoa hồng nhân viên BH</t>
  </si>
  <si>
    <t>QUẢN LÝ KHỐI CỬA HÀNG</t>
  </si>
  <si>
    <t> NGƯỜI LẬP BIỂU </t>
  </si>
  <si>
    <t>THƯỞNG CHUYÊN CẦN</t>
  </si>
  <si>
    <t>Xác  
nhận</t>
  </si>
  <si>
    <t>GIÁM ĐỐC PHÊ DUYỆT</t>
  </si>
  <si>
    <t>TRƯỞNG PHÒNG</t>
  </si>
  <si>
    <t xml:space="preserve">Ngày nghỉ hàng tuần: tích 0 và đổ màu </t>
  </si>
  <si>
    <t>3. Điền dữ liệu vào các ô màu</t>
  </si>
  <si>
    <t>SỐ LẦN ĐI MUỘN/VỀ SỚM</t>
  </si>
  <si>
    <t>Tăng ca ngày nghỉ hàng tuần</t>
  </si>
  <si>
    <t xml:space="preserve">Tăng ca ngày lễ </t>
  </si>
  <si>
    <t>Tăng ca ngày nghỉ</t>
  </si>
  <si>
    <t>NVBH</t>
  </si>
  <si>
    <t>CÔNG CHUẨN</t>
  </si>
  <si>
    <t>Ngày nghỉ phép có hưởng lương: tích P và đổ màu</t>
  </si>
  <si>
    <t>Ghi chú:  + Đối với nhân viên mới trong tháng/nghỉ việc trong tháng ghi chú như hướng dẫn</t>
  </si>
  <si>
    <t xml:space="preserve"> + Ô có công thức vui lòng không chỉnh sửa</t>
  </si>
  <si>
    <t>Nghỉ thai sản: tích "TS" (áp dụng cả với TH nam có vợ sinh con)</t>
  </si>
  <si>
    <t>TH Nghỉ hưởng lương khác: Kết hôn tích "KH" , Tang lễ bố/mẹ/con tích TL và đổ màu</t>
  </si>
  <si>
    <t>Nghỉ P + Nghỉ Hưởng lương</t>
  </si>
  <si>
    <t>Ngày công chuẩn trong tháng:</t>
  </si>
  <si>
    <t xml:space="preserve">HỌ VÀ TÊN </t>
  </si>
  <si>
    <t>NGÀY VÀO</t>
  </si>
  <si>
    <t xml:space="preserve">SỐ NGÀY CÔNG CHUẨN </t>
  </si>
  <si>
    <t>TỔNG NGÀY CÔNG</t>
  </si>
  <si>
    <t>TỔNG THU NHẬP TRÊN HĐLĐ</t>
  </si>
  <si>
    <t>HOA HỒNG BÁN HÀNG</t>
  </si>
  <si>
    <t>THÂM NIÊN</t>
  </si>
  <si>
    <t>TĂNG CA</t>
  </si>
  <si>
    <t>TỔNG THU NHẬP</t>
  </si>
  <si>
    <t>TRỪ BHXH</t>
  </si>
  <si>
    <t>TRỪ PHÍ CÔNG ĐOÀN</t>
  </si>
  <si>
    <t>TRỪ THUẾ TNCN</t>
  </si>
  <si>
    <t>TRỪ ĐẶT CỌC</t>
  </si>
  <si>
    <t>TỔNG GIẢM TRỪ</t>
  </si>
  <si>
    <t>THỰC LĨNH</t>
  </si>
  <si>
    <t>CÔNG CHÍNH THỨC</t>
  </si>
  <si>
    <t>CÔNG THỬ VIỆC</t>
  </si>
  <si>
    <t>PHỤ CẤP</t>
  </si>
  <si>
    <t>MÃ NV</t>
  </si>
  <si>
    <t>VB00013</t>
  </si>
  <si>
    <t>NGUYỄN THỊ DIỆU LINH</t>
  </si>
  <si>
    <t>VB00154</t>
  </si>
  <si>
    <t>ĐỖ THÙY LINH</t>
  </si>
  <si>
    <t>CHT CC</t>
  </si>
  <si>
    <t>NVBH CC</t>
  </si>
  <si>
    <t>HOA HỒNG BÁN HÀNG  CỬA HÀNG XTEP VIỆT TRÌ</t>
  </si>
  <si>
    <t>TRUY THU</t>
  </si>
  <si>
    <t>Ngày đóng cửa: ĐC</t>
  </si>
  <si>
    <t>Nghỉ không lương: tích N và đổ màu</t>
  </si>
  <si>
    <t>LƯƠNG NGÀY CÔNG CHÍNH THỨC</t>
  </si>
  <si>
    <t>LƯƠNG NGÀY CÔNG THỬ VIỆC</t>
  </si>
  <si>
    <t>LƯƠNG NGÀY CÔNG ĐC</t>
  </si>
  <si>
    <t>CÔNG ĐÓNG CỬA</t>
  </si>
  <si>
    <t>THỰC CHI</t>
  </si>
  <si>
    <t>GHI CHÚ</t>
  </si>
  <si>
    <t>ĐÀO THỊ THU HƯƠNG</t>
  </si>
  <si>
    <t>NGUYỄN ĐỨC GIANG</t>
  </si>
  <si>
    <t>VB00280</t>
  </si>
  <si>
    <t>BẢNG LƯƠNG CỬA HÀNG VINCOM VIỆT TRÌ</t>
  </si>
  <si>
    <t>Tỷ lệ đạt doanh số</t>
  </si>
  <si>
    <t>Tổng Hoa hồng của tất cả các nhân viên không phải NVBH:</t>
  </si>
  <si>
    <t>Ngày đóng cửa</t>
  </si>
  <si>
    <t>Công ngày lễ
(Số ngày lễ đi làm)</t>
  </si>
  <si>
    <t>Tăng ca đêm</t>
  </si>
  <si>
    <t>Tăng ca ngày đêm</t>
  </si>
  <si>
    <t>LƯƠNG NGÀY LỄ</t>
  </si>
  <si>
    <t>Ngày lễ: tích NL (nếu không có ca) hoặc tích 8 (nếu có ca) và đổ màu</t>
  </si>
  <si>
    <t>LƯƠNG CƠ BẢN</t>
  </si>
  <si>
    <t>CHT</t>
  </si>
  <si>
    <t>NGHIÊM THỊ THU HIỀN</t>
  </si>
  <si>
    <t>VB00429</t>
  </si>
  <si>
    <t>HOÀN THUẾ</t>
  </si>
  <si>
    <t>THƯỞNG KHÁC</t>
  </si>
  <si>
    <t>THƯỞNG BÁN HÀNG</t>
  </si>
  <si>
    <t>NGUYỄN THỊ BẮC</t>
  </si>
  <si>
    <t>NVBH TC</t>
  </si>
  <si>
    <t>số giờ TC  chuyển sang T12</t>
  </si>
  <si>
    <t>số giờ TC  chuyển sang T1.2026</t>
  </si>
  <si>
    <t>BÙI THỊ HOÀI</t>
  </si>
  <si>
    <t>9:00 - 17:00
14:00 - 22:00</t>
  </si>
  <si>
    <t>THƯỞNG THI ĐUA</t>
  </si>
  <si>
    <t>BẢNG CHẤM CÔNG CỬA HÀNG XTEP VIỆT TRÌ
THÁNG 07/2026</t>
  </si>
  <si>
    <t>BẢNG CHẤM CÔNG TĂNG CA CỬA HÀNG XTEP VIỆT TRÌ
THÁNG 07/2026</t>
  </si>
  <si>
    <t>Tháng 07/2026</t>
  </si>
  <si>
    <t>Chỉ tiêu doanh số
 T07.2026</t>
  </si>
  <si>
    <t>Doanh số bán hàng thực tế  
T07.2026</t>
  </si>
  <si>
    <t>HH cả cửa hàng tháng 07</t>
  </si>
  <si>
    <t>HH toàn bộ nhân viên bán hàng  tháng 07</t>
  </si>
  <si>
    <t>THÁNG 07/2026</t>
  </si>
  <si>
    <t>Đơn vị: XTEP VIET NAM</t>
  </si>
  <si>
    <t xml:space="preserve">Địa chỉ: </t>
  </si>
  <si>
    <t>BẢNG THỐNG KÊ CHẤM CÔNG</t>
  </si>
  <si>
    <t>Từ ngày 01/07/2026 đến ngày 31/07/2026</t>
  </si>
  <si>
    <t>Mã nhân viên</t>
  </si>
  <si>
    <t>Tên nhân viên</t>
  </si>
  <si>
    <t/>
  </si>
  <si>
    <t>Ngày công</t>
  </si>
  <si>
    <t>Giờ công</t>
  </si>
  <si>
    <t>Vào trễ</t>
  </si>
  <si>
    <t>Ra sớm</t>
  </si>
  <si>
    <t>Tăng ca (giờ)</t>
  </si>
  <si>
    <t>Vắng KP</t>
  </si>
  <si>
    <t>Ngày nghỉ</t>
  </si>
  <si>
    <t>T4</t>
  </si>
  <si>
    <t>T5</t>
  </si>
  <si>
    <t>T6</t>
  </si>
  <si>
    <t>T7</t>
  </si>
  <si>
    <t>CN</t>
  </si>
  <si>
    <t>T2</t>
  </si>
  <si>
    <t>T3</t>
  </si>
  <si>
    <t>NT</t>
  </si>
  <si>
    <t>CT</t>
  </si>
  <si>
    <t>Lần</t>
  </si>
  <si>
    <t>Phút</t>
  </si>
  <si>
    <t>TC1</t>
  </si>
  <si>
    <t>TC2</t>
  </si>
  <si>
    <t>TC3</t>
  </si>
  <si>
    <t>OM</t>
  </si>
  <si>
    <t>TS</t>
  </si>
  <si>
    <t>R</t>
  </si>
  <si>
    <t>XTEP VIET TRI</t>
  </si>
  <si>
    <t>Nguyen Thi Dieu Linh</t>
  </si>
  <si>
    <t>Vào</t>
  </si>
  <si>
    <t>08:51</t>
  </si>
  <si>
    <t>V</t>
  </si>
  <si>
    <t>13:53</t>
  </si>
  <si>
    <t>08:55</t>
  </si>
  <si>
    <t>13:59</t>
  </si>
  <si>
    <t>08:57</t>
  </si>
  <si>
    <t>13:55</t>
  </si>
  <si>
    <t>08:53</t>
  </si>
  <si>
    <t>13:56</t>
  </si>
  <si>
    <t>08:54</t>
  </si>
  <si>
    <t>Off</t>
  </si>
  <si>
    <t>08:56</t>
  </si>
  <si>
    <t>08:50</t>
  </si>
  <si>
    <t>08:58</t>
  </si>
  <si>
    <t>Ra</t>
  </si>
  <si>
    <t>17:01</t>
  </si>
  <si>
    <t>22:00</t>
  </si>
  <si>
    <t>17:00</t>
  </si>
  <si>
    <t>22:01</t>
  </si>
  <si>
    <t>17:08</t>
  </si>
  <si>
    <t>22:02</t>
  </si>
  <si>
    <t>17:02</t>
  </si>
  <si>
    <t>17:20</t>
  </si>
  <si>
    <t>17:10</t>
  </si>
  <si>
    <t>17:14</t>
  </si>
  <si>
    <t>Do Thuy Linh</t>
  </si>
  <si>
    <t>08:52</t>
  </si>
  <si>
    <t>13:58</t>
  </si>
  <si>
    <t>13:50</t>
  </si>
  <si>
    <t>13:52</t>
  </si>
  <si>
    <t>13:57</t>
  </si>
  <si>
    <t>22:06</t>
  </si>
  <si>
    <t>17:16</t>
  </si>
  <si>
    <t>Nguyen Duc Giang</t>
  </si>
  <si>
    <t>08:59</t>
  </si>
  <si>
    <t>13:51</t>
  </si>
  <si>
    <t>13:54</t>
  </si>
  <si>
    <t>22:03</t>
  </si>
  <si>
    <t>17:07</t>
  </si>
  <si>
    <t>21:59</t>
  </si>
  <si>
    <t>Nghiem Thị Thu Hien</t>
  </si>
  <si>
    <t>13:42</t>
  </si>
  <si>
    <t>13:46</t>
  </si>
  <si>
    <t>13:49</t>
  </si>
  <si>
    <t>17:06</t>
  </si>
  <si>
    <t>17:03</t>
  </si>
  <si>
    <t>Ghi chú:</t>
  </si>
  <si>
    <t>NT: Ngày thường, CT: Cuối tuần</t>
  </si>
  <si>
    <t>TC1: Tăng ca mức 1, TC2: Tăng ca mức 2, TC3: Tăng ca mức 3</t>
  </si>
  <si>
    <t xml:space="preserve">OM:Nghỉ ốm; TS:Nghỉ Thai Sản; R:Việc riêng có lương; </t>
  </si>
  <si>
    <t xml:space="preserve">V: Vắng (không có chấm công); Tr: Đi trễ; Sm: Về sớm; KR: Chỉ có giờ chấm công vào; KV: Chỉ có giờ chấm công ra; +: Tăng ca; X: Chấm công đúng giờ; </t>
  </si>
  <si>
    <t>Ngoài ra còn ký hiệu ghép của các kí hiệu đơn. Ví dụ: X+ là chấm công đúng giờ và có tăng ca</t>
  </si>
  <si>
    <t>VŨ HOÀNG ANH</t>
  </si>
  <si>
    <t>VB00720</t>
  </si>
  <si>
    <t>NVBH SC</t>
  </si>
  <si>
    <t>P</t>
  </si>
  <si>
    <t>CHƯA NHẬN VIỆC</t>
  </si>
  <si>
    <t>NV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</si>
</sst>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\ _₫_-;\-* #,##0.00\ _₫_-;_-* &quot;-&quot;??\ _₫_-;_-@_-"/>
    <numFmt numFmtId="164" formatCode="[$-409]dddd\,\ mmmm\ dd\,\ yyyy"/>
    <numFmt numFmtId="165" formatCode="_(* #,##0.00_);_(* \(#,##0.00\);_(* &quot;-&quot;??_);_(@_)"/>
    <numFmt numFmtId="166" formatCode="_-* #,##0.00_-;\-* #,##0.00_-;_-* &quot;-&quot;??_-;_-@_-"/>
    <numFmt numFmtId="167" formatCode="_(* #,##0_);_(* \(#,##0\);_(* &quot;-&quot;??_);_(@_)"/>
    <numFmt numFmtId="168" formatCode="0.0_);[Red]\(0.0\)"/>
    <numFmt numFmtId="169" formatCode="0.0"/>
    <numFmt numFmtId="170" formatCode="_(* #,##0.0_);_(* \(#,##0.0\);_(* &quot;-&quot;??_);_(@_)"/>
    <numFmt numFmtId="171" formatCode="0_);[Red]\(0\)"/>
    <numFmt numFmtId="172" formatCode="_-* #,##0_-;\-* #,##0_-;_-* &quot;-&quot;??_-;_-@_-"/>
    <numFmt numFmtId="173" formatCode="_-* #,##0.000\ _₫_-;\-* #,##0.000\ _₫_-;_-* &quot;-&quot;???\ _₫_-;_-@_-"/>
    <numFmt numFmtId="174" formatCode="dd"/>
    <numFmt numFmtId="175" formatCode="_-* #,##0.0\ _₫_-;\-* #,##0.0\ _₫_-;_-* &quot;-&quot;?\ _₫_-;_-@_-"/>
    <numFmt numFmtId="176" formatCode="#,##0_ ;\-#,##0\ "/>
    <numFmt numFmtId="177" formatCode="_(* #,##0_);_(* \(#,##0\);_(* &quot;-&quot;_);_(@_)"/>
    <numFmt numFmtId="178" formatCode="0.0%"/>
  </numFmts>
  <fonts count="8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9"/>
      <name val="Tahoma"/>
      <family val="2"/>
    </font>
    <font>
      <b/>
      <sz val="9"/>
      <name val="Tahoma"/>
      <family val="2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等线"/>
      <charset val="134"/>
    </font>
    <font>
      <sz val="8"/>
      <name val="Times New Roman"/>
      <family val="1"/>
    </font>
    <font>
      <sz val="6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8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8"/>
      <color rgb="FFFF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5" tint="-0.249977111117893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1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50">
    <xf numFmtId="0" fontId="0" fillId="0" borderId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/>
    <xf numFmtId="0" fontId="7" fillId="0" borderId="0"/>
    <xf numFmtId="0" fontId="7" fillId="0" borderId="0"/>
    <xf numFmtId="164" fontId="8" fillId="0" borderId="0"/>
    <xf numFmtId="164" fontId="8" fillId="0" borderId="0"/>
    <xf numFmtId="164" fontId="8" fillId="0" borderId="0"/>
    <xf numFmtId="0" fontId="40" fillId="0" borderId="0"/>
    <xf numFmtId="177" fontId="7" fillId="0" borderId="0" applyFont="0" applyFill="0" applyBorder="0" applyAlignment="0" applyProtection="0"/>
    <xf numFmtId="0" fontId="41" fillId="0" borderId="0"/>
    <xf numFmtId="0" fontId="43" fillId="0" borderId="0"/>
    <xf numFmtId="0" fontId="44" fillId="0" borderId="0"/>
    <xf numFmtId="0" fontId="45" fillId="0" borderId="0"/>
    <xf numFmtId="9" fontId="7" fillId="0" borderId="0" applyFont="0" applyFill="0" applyBorder="0" applyAlignment="0" applyProtection="0"/>
    <xf numFmtId="0" fontId="47" fillId="0" borderId="0"/>
    <xf numFmtId="0" fontId="48" fillId="0" borderId="0"/>
    <xf numFmtId="0" fontId="49" fillId="0" borderId="0"/>
    <xf numFmtId="0" fontId="50" fillId="0" borderId="0"/>
    <xf numFmtId="0" fontId="52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</cellStyleXfs>
  <cellXfs count="349">
    <xf numFmtId="0" fontId="0" fillId="0" borderId="0" xfId="0"/>
    <xf numFmtId="0" fontId="2" fillId="0" borderId="0" xfId="0" applyFont="1" applyFill="1" applyProtection="1">
      <protection locked="0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168" fontId="17" fillId="4" borderId="1" xfId="7" applyNumberFormat="1" applyFont="1" applyFill="1" applyBorder="1" applyAlignment="1" applyProtection="1">
      <alignment horizontal="center" vertical="center"/>
      <protection locked="0"/>
    </xf>
    <xf numFmtId="0" fontId="13" fillId="4" borderId="0" xfId="0" applyFont="1" applyFill="1"/>
    <xf numFmtId="0" fontId="17" fillId="4" borderId="0" xfId="0" applyFont="1" applyFill="1"/>
    <xf numFmtId="0" fontId="17" fillId="4" borderId="0" xfId="0" applyFont="1" applyFill="1" applyAlignment="1"/>
    <xf numFmtId="0" fontId="13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9" fillId="0" borderId="0" xfId="4" applyFont="1" applyFill="1" applyAlignment="1">
      <alignment horizontal="center"/>
    </xf>
    <xf numFmtId="169" fontId="13" fillId="0" borderId="0" xfId="0" applyNumberFormat="1" applyFont="1"/>
    <xf numFmtId="3" fontId="17" fillId="4" borderId="1" xfId="1" applyNumberFormat="1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/>
    <xf numFmtId="0" fontId="21" fillId="0" borderId="0" xfId="0" applyFont="1" applyFill="1" applyProtection="1">
      <protection locked="0"/>
    </xf>
    <xf numFmtId="0" fontId="22" fillId="0" borderId="0" xfId="0" applyFont="1" applyFill="1" applyProtection="1">
      <protection locked="0"/>
    </xf>
    <xf numFmtId="0" fontId="23" fillId="0" borderId="0" xfId="0" applyFont="1" applyFill="1" applyProtection="1">
      <protection locked="0"/>
    </xf>
    <xf numFmtId="0" fontId="18" fillId="0" borderId="0" xfId="0" applyFont="1" applyFill="1" applyProtection="1">
      <protection locked="0"/>
    </xf>
    <xf numFmtId="0" fontId="25" fillId="0" borderId="0" xfId="0" applyFont="1" applyFill="1" applyProtection="1">
      <protection locked="0"/>
    </xf>
    <xf numFmtId="0" fontId="17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74" fontId="1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8" fontId="5" fillId="0" borderId="1" xfId="0" applyNumberFormat="1" applyFont="1" applyFill="1" applyBorder="1" applyAlignment="1" applyProtection="1">
      <alignment horizontal="center" vertical="center"/>
    </xf>
    <xf numFmtId="0" fontId="20" fillId="4" borderId="0" xfId="0" applyFont="1" applyFill="1" applyAlignment="1">
      <alignment vertical="center"/>
    </xf>
    <xf numFmtId="0" fontId="16" fillId="4" borderId="8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vertical="center"/>
    </xf>
    <xf numFmtId="171" fontId="16" fillId="4" borderId="0" xfId="0" applyNumberFormat="1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9" fillId="4" borderId="0" xfId="0" applyFont="1" applyFill="1" applyAlignment="1">
      <alignment vertical="center"/>
    </xf>
    <xf numFmtId="0" fontId="18" fillId="7" borderId="1" xfId="0" applyFont="1" applyFill="1" applyBorder="1" applyAlignment="1">
      <alignment horizontal="center" vertical="center"/>
    </xf>
    <xf numFmtId="171" fontId="29" fillId="4" borderId="0" xfId="0" applyNumberFormat="1" applyFont="1" applyFill="1" applyAlignment="1">
      <alignment vertical="center"/>
    </xf>
    <xf numFmtId="0" fontId="20" fillId="4" borderId="0" xfId="0" applyFont="1" applyFill="1" applyAlignment="1">
      <alignment horizontal="center" vertical="center"/>
    </xf>
    <xf numFmtId="0" fontId="28" fillId="0" borderId="0" xfId="0" applyNumberFormat="1" applyFont="1" applyFill="1" applyBorder="1" applyAlignment="1" applyProtection="1"/>
    <xf numFmtId="0" fontId="20" fillId="0" borderId="0" xfId="0" applyFont="1" applyAlignment="1">
      <alignment horizontal="center" vertical="center"/>
    </xf>
    <xf numFmtId="0" fontId="6" fillId="4" borderId="0" xfId="0" applyFont="1" applyFill="1" applyAlignment="1">
      <alignment vertical="center"/>
    </xf>
    <xf numFmtId="174" fontId="11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15" fillId="4" borderId="0" xfId="0" applyFont="1" applyFill="1" applyAlignment="1">
      <alignment vertical="center"/>
    </xf>
    <xf numFmtId="0" fontId="17" fillId="4" borderId="0" xfId="0" applyFont="1" applyFill="1" applyAlignment="1">
      <alignment horizontal="center"/>
    </xf>
    <xf numFmtId="164" fontId="31" fillId="0" borderId="0" xfId="4" applyFont="1" applyFill="1" applyBorder="1" applyAlignment="1">
      <alignment horizontal="center" wrapText="1"/>
    </xf>
    <xf numFmtId="164" fontId="31" fillId="0" borderId="7" xfId="4" applyFont="1" applyBorder="1" applyAlignment="1">
      <alignment vertical="center" wrapText="1"/>
    </xf>
    <xf numFmtId="0" fontId="33" fillId="4" borderId="0" xfId="0" applyFont="1" applyFill="1" applyAlignment="1">
      <alignment vertical="center"/>
    </xf>
    <xf numFmtId="0" fontId="20" fillId="11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34" fillId="0" borderId="0" xfId="0" applyFont="1" applyProtection="1">
      <protection locked="0"/>
    </xf>
    <xf numFmtId="0" fontId="34" fillId="0" borderId="0" xfId="0" applyFont="1" applyFill="1" applyProtection="1">
      <protection locked="0"/>
    </xf>
    <xf numFmtId="0" fontId="35" fillId="0" borderId="0" xfId="0" applyFont="1" applyProtection="1">
      <protection locked="0"/>
    </xf>
    <xf numFmtId="167" fontId="34" fillId="0" borderId="0" xfId="1" applyNumberFormat="1" applyFont="1" applyProtection="1">
      <protection locked="0"/>
    </xf>
    <xf numFmtId="165" fontId="34" fillId="0" borderId="0" xfId="0" applyNumberFormat="1" applyFont="1" applyProtection="1">
      <protection locked="0"/>
    </xf>
    <xf numFmtId="167" fontId="34" fillId="0" borderId="0" xfId="0" applyNumberFormat="1" applyFont="1" applyProtection="1">
      <protection locked="0"/>
    </xf>
    <xf numFmtId="0" fontId="36" fillId="0" borderId="0" xfId="0" applyFont="1" applyProtection="1">
      <protection locked="0"/>
    </xf>
    <xf numFmtId="0" fontId="34" fillId="0" borderId="0" xfId="0" applyFont="1" applyAlignment="1" applyProtection="1">
      <alignment horizontal="center"/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Protection="1">
      <protection locked="0"/>
    </xf>
    <xf numFmtId="0" fontId="38" fillId="0" borderId="0" xfId="0" applyFont="1" applyProtection="1">
      <protection locked="0"/>
    </xf>
    <xf numFmtId="167" fontId="37" fillId="0" borderId="0" xfId="1" applyNumberFormat="1" applyFont="1" applyProtection="1">
      <protection locked="0"/>
    </xf>
    <xf numFmtId="0" fontId="34" fillId="0" borderId="0" xfId="0" applyFont="1" applyFill="1" applyBorder="1" applyAlignment="1" applyProtection="1">
      <protection locked="0"/>
    </xf>
    <xf numFmtId="0" fontId="34" fillId="0" borderId="0" xfId="0" applyFont="1" applyAlignment="1" applyProtection="1">
      <alignment horizontal="left"/>
      <protection locked="0"/>
    </xf>
    <xf numFmtId="167" fontId="37" fillId="0" borderId="0" xfId="1" applyNumberFormat="1" applyFont="1" applyFill="1" applyBorder="1" applyProtection="1">
      <protection locked="0"/>
    </xf>
    <xf numFmtId="0" fontId="37" fillId="0" borderId="0" xfId="0" applyFont="1" applyFill="1" applyBorder="1" applyProtection="1">
      <protection locked="0"/>
    </xf>
    <xf numFmtId="0" fontId="38" fillId="0" borderId="0" xfId="0" applyFont="1" applyFill="1" applyBorder="1" applyProtection="1">
      <protection locked="0"/>
    </xf>
    <xf numFmtId="0" fontId="37" fillId="0" borderId="0" xfId="0" applyFont="1" applyFill="1" applyBorder="1" applyAlignment="1" applyProtection="1">
      <protection locked="0"/>
    </xf>
    <xf numFmtId="167" fontId="37" fillId="0" borderId="0" xfId="1" applyNumberFormat="1" applyFont="1" applyFill="1" applyBorder="1" applyAlignment="1" applyProtection="1">
      <protection locked="0"/>
    </xf>
    <xf numFmtId="0" fontId="37" fillId="0" borderId="0" xfId="0" applyFont="1" applyFill="1" applyBorder="1" applyAlignment="1" applyProtection="1">
      <alignment wrapText="1"/>
      <protection locked="0"/>
    </xf>
    <xf numFmtId="3" fontId="37" fillId="0" borderId="0" xfId="0" applyNumberFormat="1" applyFont="1" applyFill="1" applyBorder="1" applyAlignment="1" applyProtection="1">
      <protection locked="0"/>
    </xf>
    <xf numFmtId="167" fontId="37" fillId="0" borderId="0" xfId="0" applyNumberFormat="1" applyFont="1" applyFill="1" applyBorder="1" applyAlignment="1" applyProtection="1"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Protection="1">
      <protection locked="0"/>
    </xf>
    <xf numFmtId="0" fontId="39" fillId="0" borderId="0" xfId="0" applyFont="1" applyProtection="1">
      <protection locked="0"/>
    </xf>
    <xf numFmtId="167" fontId="18" fillId="0" borderId="0" xfId="1" applyNumberFormat="1" applyFont="1" applyProtection="1">
      <protection locked="0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8" fillId="10" borderId="1" xfId="0" applyFont="1" applyFill="1" applyBorder="1" applyProtection="1">
      <protection locked="0"/>
    </xf>
    <xf numFmtId="0" fontId="16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171" fontId="3" fillId="4" borderId="0" xfId="0" applyNumberFormat="1" applyFont="1" applyFill="1" applyAlignment="1">
      <alignment vertical="center"/>
    </xf>
    <xf numFmtId="0" fontId="14" fillId="4" borderId="0" xfId="0" applyFont="1" applyFill="1" applyAlignment="1">
      <alignment vertical="center"/>
    </xf>
    <xf numFmtId="164" fontId="19" fillId="0" borderId="0" xfId="4" applyFont="1" applyFill="1" applyAlignment="1">
      <alignment horizontal="center" vertical="center"/>
    </xf>
    <xf numFmtId="1" fontId="19" fillId="0" borderId="0" xfId="4" applyNumberFormat="1" applyFont="1" applyFill="1" applyAlignment="1">
      <alignment horizontal="center" vertical="center"/>
    </xf>
    <xf numFmtId="172" fontId="19" fillId="4" borderId="7" xfId="2" applyNumberFormat="1" applyFont="1" applyFill="1" applyBorder="1" applyAlignment="1">
      <alignment vertical="center" wrapText="1"/>
    </xf>
    <xf numFmtId="0" fontId="25" fillId="4" borderId="0" xfId="0" applyFont="1" applyFill="1" applyBorder="1" applyAlignment="1">
      <alignment vertical="center"/>
    </xf>
    <xf numFmtId="0" fontId="42" fillId="4" borderId="0" xfId="0" applyFont="1" applyFill="1" applyAlignment="1">
      <alignment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vertical="center"/>
    </xf>
    <xf numFmtId="168" fontId="25" fillId="4" borderId="0" xfId="0" applyNumberFormat="1" applyFont="1" applyFill="1" applyBorder="1" applyAlignment="1" applyProtection="1">
      <alignment horizontal="center" vertical="center"/>
    </xf>
    <xf numFmtId="168" fontId="25" fillId="4" borderId="0" xfId="0" applyNumberFormat="1" applyFont="1" applyFill="1" applyBorder="1" applyAlignment="1" applyProtection="1">
      <alignment horizontal="center" vertical="center"/>
      <protection locked="0"/>
    </xf>
    <xf numFmtId="171" fontId="25" fillId="4" borderId="0" xfId="7" applyNumberFormat="1" applyFont="1" applyFill="1" applyBorder="1" applyAlignment="1" applyProtection="1">
      <alignment horizontal="center" vertical="center"/>
      <protection locked="0"/>
    </xf>
    <xf numFmtId="168" fontId="25" fillId="4" borderId="0" xfId="7" applyNumberFormat="1" applyFont="1" applyFill="1" applyBorder="1" applyAlignment="1" applyProtection="1">
      <alignment horizontal="center" vertical="center"/>
      <protection locked="0"/>
    </xf>
    <xf numFmtId="172" fontId="25" fillId="4" borderId="0" xfId="2" applyNumberFormat="1" applyFont="1" applyFill="1" applyBorder="1" applyAlignment="1" applyProtection="1">
      <alignment horizontal="center" vertical="center"/>
      <protection locked="0"/>
    </xf>
    <xf numFmtId="170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vertical="center" wrapText="1"/>
      <protection locked="0"/>
    </xf>
    <xf numFmtId="0" fontId="4" fillId="0" borderId="4" xfId="0" applyFont="1" applyFill="1" applyBorder="1" applyAlignment="1" applyProtection="1">
      <alignment vertical="center" wrapText="1"/>
      <protection locked="0"/>
    </xf>
    <xf numFmtId="170" fontId="4" fillId="0" borderId="5" xfId="1" applyNumberFormat="1" applyFont="1" applyFill="1" applyBorder="1" applyAlignment="1" applyProtection="1">
      <alignment vertical="center" wrapText="1"/>
      <protection locked="0"/>
    </xf>
    <xf numFmtId="170" fontId="4" fillId="6" borderId="5" xfId="1" applyNumberFormat="1" applyFont="1" applyFill="1" applyBorder="1" applyAlignment="1" applyProtection="1">
      <alignment vertical="center" wrapText="1"/>
      <protection locked="0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165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Protection="1">
      <protection locked="0"/>
    </xf>
    <xf numFmtId="0" fontId="18" fillId="0" borderId="1" xfId="0" applyFont="1" applyFill="1" applyBorder="1" applyAlignment="1" applyProtection="1">
      <alignment vertical="center"/>
    </xf>
    <xf numFmtId="0" fontId="18" fillId="0" borderId="0" xfId="0" applyFont="1" applyFill="1" applyBorder="1" applyProtection="1">
      <protection locked="0"/>
    </xf>
    <xf numFmtId="173" fontId="18" fillId="0" borderId="0" xfId="0" applyNumberFormat="1" applyFont="1" applyFill="1" applyProtection="1">
      <protection locked="0"/>
    </xf>
    <xf numFmtId="173" fontId="18" fillId="0" borderId="0" xfId="0" applyNumberFormat="1" applyFont="1" applyFill="1" applyBorder="1" applyProtection="1">
      <protection locked="0"/>
    </xf>
    <xf numFmtId="43" fontId="18" fillId="0" borderId="0" xfId="0" applyNumberFormat="1" applyFont="1" applyFill="1" applyProtection="1">
      <protection locked="0"/>
    </xf>
    <xf numFmtId="9" fontId="18" fillId="0" borderId="1" xfId="0" applyNumberFormat="1" applyFont="1" applyFill="1" applyBorder="1" applyAlignment="1" applyProtection="1">
      <alignment vertical="center"/>
    </xf>
    <xf numFmtId="3" fontId="18" fillId="0" borderId="1" xfId="1" applyNumberFormat="1" applyFont="1" applyFill="1" applyBorder="1" applyAlignment="1" applyProtection="1">
      <alignment vertical="center"/>
    </xf>
    <xf numFmtId="175" fontId="18" fillId="0" borderId="0" xfId="0" applyNumberFormat="1" applyFont="1" applyFill="1" applyProtection="1">
      <protection locked="0"/>
    </xf>
    <xf numFmtId="167" fontId="18" fillId="0" borderId="0" xfId="1" applyNumberFormat="1" applyFont="1" applyFill="1" applyBorder="1" applyAlignment="1" applyProtection="1">
      <protection locked="0"/>
    </xf>
    <xf numFmtId="3" fontId="18" fillId="0" borderId="1" xfId="0" applyNumberFormat="1" applyFont="1" applyFill="1" applyBorder="1" applyAlignment="1" applyProtection="1">
      <alignment vertical="center"/>
    </xf>
    <xf numFmtId="3" fontId="18" fillId="0" borderId="0" xfId="0" applyNumberFormat="1" applyFont="1" applyFill="1" applyBorder="1" applyAlignment="1" applyProtection="1">
      <protection locked="0"/>
    </xf>
    <xf numFmtId="167" fontId="18" fillId="0" borderId="1" xfId="0" applyNumberFormat="1" applyFont="1" applyFill="1" applyBorder="1" applyAlignment="1" applyProtection="1">
      <alignment vertical="center"/>
    </xf>
    <xf numFmtId="167" fontId="18" fillId="0" borderId="0" xfId="0" applyNumberFormat="1" applyFont="1" applyFill="1" applyBorder="1" applyAlignment="1" applyProtection="1">
      <protection locked="0"/>
    </xf>
    <xf numFmtId="167" fontId="12" fillId="0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/>
    </xf>
    <xf numFmtId="9" fontId="4" fillId="0" borderId="1" xfId="0" applyNumberFormat="1" applyFont="1" applyFill="1" applyBorder="1" applyAlignment="1" applyProtection="1">
      <alignment vertical="center"/>
      <protection locked="0"/>
    </xf>
    <xf numFmtId="170" fontId="4" fillId="0" borderId="1" xfId="1" applyNumberFormat="1" applyFont="1" applyFill="1" applyBorder="1" applyAlignment="1" applyProtection="1">
      <alignment vertical="center"/>
    </xf>
    <xf numFmtId="0" fontId="16" fillId="4" borderId="0" xfId="0" applyFont="1" applyFill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3" fontId="46" fillId="10" borderId="1" xfId="0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171" fontId="29" fillId="0" borderId="0" xfId="0" applyNumberFormat="1" applyFont="1" applyFill="1" applyAlignment="1">
      <alignment vertical="center"/>
    </xf>
    <xf numFmtId="0" fontId="15" fillId="5" borderId="0" xfId="0" applyNumberFormat="1" applyFont="1" applyFill="1" applyBorder="1" applyAlignment="1" applyProtection="1"/>
    <xf numFmtId="0" fontId="2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15" fillId="4" borderId="0" xfId="0" applyFont="1" applyFill="1"/>
    <xf numFmtId="0" fontId="15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3" fontId="18" fillId="4" borderId="1" xfId="0" applyNumberFormat="1" applyFont="1" applyFill="1" applyBorder="1" applyAlignment="1" applyProtection="1">
      <alignment horizontal="center" vertical="center"/>
      <protection locked="0"/>
    </xf>
    <xf numFmtId="3" fontId="18" fillId="4" borderId="1" xfId="0" applyNumberFormat="1" applyFont="1" applyFill="1" applyBorder="1" applyAlignment="1" applyProtection="1">
      <alignment horizontal="center" vertical="center"/>
    </xf>
    <xf numFmtId="3" fontId="18" fillId="13" borderId="1" xfId="1" applyNumberFormat="1" applyFont="1" applyFill="1" applyBorder="1" applyAlignment="1" applyProtection="1">
      <alignment horizontal="center" vertical="center"/>
      <protection locked="0"/>
    </xf>
    <xf numFmtId="176" fontId="18" fillId="4" borderId="1" xfId="1" applyNumberFormat="1" applyFont="1" applyFill="1" applyBorder="1" applyAlignment="1" applyProtection="1">
      <alignment horizontal="center" vertical="center"/>
    </xf>
    <xf numFmtId="1" fontId="18" fillId="14" borderId="1" xfId="0" applyNumberFormat="1" applyFont="1" applyFill="1" applyBorder="1" applyAlignment="1" applyProtection="1">
      <alignment horizontal="center" vertical="center"/>
    </xf>
    <xf numFmtId="0" fontId="18" fillId="14" borderId="1" xfId="0" applyFont="1" applyFill="1" applyBorder="1" applyAlignment="1" applyProtection="1">
      <alignment horizontal="center" vertical="center"/>
      <protection locked="0"/>
    </xf>
    <xf numFmtId="1" fontId="18" fillId="0" borderId="1" xfId="0" applyNumberFormat="1" applyFont="1" applyFill="1" applyBorder="1" applyAlignment="1" applyProtection="1">
      <alignment horizontal="center" vertical="center"/>
    </xf>
    <xf numFmtId="3" fontId="18" fillId="0" borderId="1" xfId="0" applyNumberFormat="1" applyFont="1" applyFill="1" applyBorder="1" applyAlignment="1" applyProtection="1">
      <alignment horizontal="center" vertical="center"/>
      <protection locked="0"/>
    </xf>
    <xf numFmtId="1" fontId="18" fillId="1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3" fontId="18" fillId="0" borderId="1" xfId="1" applyNumberFormat="1" applyFont="1" applyFill="1" applyBorder="1" applyAlignment="1" applyProtection="1">
      <alignment horizontal="center" vertical="center"/>
      <protection locked="0"/>
    </xf>
    <xf numFmtId="3" fontId="18" fillId="10" borderId="1" xfId="0" applyNumberFormat="1" applyFont="1" applyFill="1" applyBorder="1" applyAlignment="1" applyProtection="1">
      <alignment horizontal="center" vertical="center"/>
    </xf>
    <xf numFmtId="3" fontId="18" fillId="10" borderId="1" xfId="1" applyNumberFormat="1" applyFont="1" applyFill="1" applyBorder="1" applyAlignment="1" applyProtection="1">
      <alignment horizontal="center" vertical="center"/>
      <protection locked="0"/>
    </xf>
    <xf numFmtId="170" fontId="18" fillId="10" borderId="1" xfId="2" applyNumberFormat="1" applyFont="1" applyFill="1" applyBorder="1" applyAlignment="1" applyProtection="1">
      <alignment horizontal="center" vertical="center"/>
      <protection locked="0"/>
    </xf>
    <xf numFmtId="170" fontId="18" fillId="10" borderId="1" xfId="2" applyNumberFormat="1" applyFont="1" applyFill="1" applyBorder="1" applyAlignment="1" applyProtection="1">
      <alignment horizontal="center" vertical="center"/>
    </xf>
    <xf numFmtId="170" fontId="18" fillId="0" borderId="1" xfId="1" applyNumberFormat="1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172" fontId="16" fillId="10" borderId="1" xfId="2" applyNumberFormat="1" applyFont="1" applyFill="1" applyBorder="1" applyAlignment="1" applyProtection="1">
      <alignment horizontal="center" vertical="center"/>
    </xf>
    <xf numFmtId="168" fontId="5" fillId="15" borderId="1" xfId="7" applyNumberFormat="1" applyFont="1" applyFill="1" applyBorder="1" applyAlignment="1" applyProtection="1">
      <alignment horizontal="center" vertical="center"/>
      <protection locked="0"/>
    </xf>
    <xf numFmtId="168" fontId="17" fillId="15" borderId="1" xfId="7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left" vertical="center"/>
    </xf>
    <xf numFmtId="14" fontId="18" fillId="0" borderId="1" xfId="0" applyNumberFormat="1" applyFont="1" applyBorder="1" applyAlignment="1">
      <alignment vertical="center"/>
    </xf>
    <xf numFmtId="0" fontId="3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8" fillId="4" borderId="1" xfId="0" applyFont="1" applyFill="1" applyBorder="1" applyAlignment="1" applyProtection="1">
      <alignment vertical="center"/>
      <protection locked="0"/>
    </xf>
    <xf numFmtId="0" fontId="20" fillId="0" borderId="1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8" fontId="16" fillId="0" borderId="1" xfId="0" applyNumberFormat="1" applyFont="1" applyFill="1" applyBorder="1" applyAlignment="1" applyProtection="1">
      <alignment horizontal="center" vertical="center"/>
    </xf>
    <xf numFmtId="171" fontId="16" fillId="0" borderId="1" xfId="7" applyNumberFormat="1" applyFont="1" applyFill="1" applyBorder="1" applyAlignment="1" applyProtection="1">
      <alignment horizontal="center" vertical="center"/>
      <protection locked="0"/>
    </xf>
    <xf numFmtId="168" fontId="16" fillId="0" borderId="1" xfId="7" applyNumberFormat="1" applyFont="1" applyFill="1" applyBorder="1" applyAlignment="1" applyProtection="1">
      <alignment horizontal="center" vertical="center"/>
      <protection locked="0"/>
    </xf>
    <xf numFmtId="172" fontId="16" fillId="0" borderId="1" xfId="2" applyNumberFormat="1" applyFont="1" applyFill="1" applyBorder="1" applyAlignment="1" applyProtection="1">
      <alignment horizontal="center" vertical="center"/>
      <protection locked="0"/>
    </xf>
    <xf numFmtId="171" fontId="18" fillId="3" borderId="1" xfId="7" applyNumberFormat="1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178" fontId="4" fillId="10" borderId="1" xfId="2" applyNumberFormat="1" applyFont="1" applyFill="1" applyBorder="1" applyAlignment="1" applyProtection="1">
      <alignment horizontal="center" vertical="center" wrapText="1"/>
    </xf>
    <xf numFmtId="178" fontId="18" fillId="0" borderId="1" xfId="0" applyNumberFormat="1" applyFont="1" applyFill="1" applyBorder="1" applyAlignment="1" applyProtection="1">
      <alignment horizontal="center" vertical="center"/>
    </xf>
    <xf numFmtId="0" fontId="24" fillId="0" borderId="0" xfId="0" applyFont="1" applyFill="1" applyProtection="1">
      <protection locked="0"/>
    </xf>
    <xf numFmtId="0" fontId="24" fillId="0" borderId="0" xfId="0" applyFont="1"/>
    <xf numFmtId="0" fontId="24" fillId="0" borderId="0" xfId="0" applyFont="1" applyFill="1" applyBorder="1" applyProtection="1">
      <protection locked="0"/>
    </xf>
    <xf numFmtId="3" fontId="24" fillId="0" borderId="0" xfId="0" applyNumberFormat="1" applyFont="1" applyFill="1" applyBorder="1" applyAlignment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167" fontId="46" fillId="10" borderId="1" xfId="2" applyNumberFormat="1" applyFont="1" applyFill="1" applyBorder="1" applyAlignment="1" applyProtection="1">
      <alignment vertical="center" wrapText="1"/>
      <protection locked="0"/>
    </xf>
    <xf numFmtId="172" fontId="3" fillId="10" borderId="1" xfId="2" applyNumberFormat="1" applyFont="1" applyFill="1" applyBorder="1" applyAlignment="1" applyProtection="1">
      <alignment horizontal="center" vertical="center"/>
    </xf>
    <xf numFmtId="0" fontId="71" fillId="4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70" fontId="2" fillId="0" borderId="0" xfId="1" applyNumberFormat="1" applyFont="1" applyFill="1" applyProtection="1"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3" fontId="6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Fill="1" applyBorder="1" applyProtection="1">
      <protection locked="0"/>
    </xf>
    <xf numFmtId="170" fontId="1" fillId="0" borderId="0" xfId="1" applyNumberFormat="1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70" fontId="1" fillId="0" borderId="0" xfId="1" applyNumberFormat="1" applyFont="1" applyFill="1" applyBorder="1" applyProtection="1">
      <protection locked="0"/>
    </xf>
    <xf numFmtId="17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5" fillId="4" borderId="1" xfId="0" applyFont="1" applyFill="1" applyBorder="1"/>
    <xf numFmtId="3" fontId="5" fillId="4" borderId="1" xfId="1" applyNumberFormat="1" applyFont="1" applyFill="1" applyBorder="1" applyAlignment="1" applyProtection="1">
      <alignment horizontal="center" vertical="center"/>
      <protection locked="0"/>
    </xf>
    <xf numFmtId="3" fontId="5" fillId="4" borderId="1" xfId="7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82" fillId="0" borderId="0" xfId="49"/>
    <xf numFmtId="0" fontId="83" fillId="0" borderId="1" xfId="49" applyFont="1" applyBorder="1" applyAlignment="1">
      <alignment horizontal="center" vertical="center"/>
    </xf>
    <xf numFmtId="0" fontId="83" fillId="0" borderId="1" xfId="49" applyFont="1" applyBorder="1" applyAlignment="1">
      <alignment horizontal="center" vertical="center" wrapText="1"/>
    </xf>
    <xf numFmtId="0" fontId="86" fillId="0" borderId="10" xfId="49" applyFont="1" applyBorder="1" applyAlignment="1">
      <alignment horizontal="center" vertical="center"/>
    </xf>
    <xf numFmtId="0" fontId="86" fillId="0" borderId="12" xfId="49" applyFont="1" applyBorder="1" applyAlignment="1">
      <alignment horizontal="center" vertical="center"/>
    </xf>
    <xf numFmtId="0" fontId="25" fillId="4" borderId="0" xfId="0" applyFont="1" applyFill="1" applyBorder="1"/>
    <xf numFmtId="168" fontId="16" fillId="4" borderId="1" xfId="7" applyNumberFormat="1" applyFont="1" applyFill="1" applyBorder="1" applyAlignment="1" applyProtection="1">
      <alignment horizontal="center" vertical="center"/>
      <protection locked="0"/>
    </xf>
    <xf numFmtId="168" fontId="16" fillId="19" borderId="1" xfId="7" applyNumberFormat="1" applyFont="1" applyFill="1" applyBorder="1" applyAlignment="1" applyProtection="1">
      <alignment horizontal="center" vertical="center"/>
      <protection locked="0"/>
    </xf>
    <xf numFmtId="168" fontId="16" fillId="20" borderId="1" xfId="7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8" fontId="39" fillId="0" borderId="1" xfId="0" applyNumberFormat="1" applyFont="1" applyFill="1" applyBorder="1" applyAlignment="1" applyProtection="1">
      <alignment horizontal="center" vertical="center"/>
    </xf>
    <xf numFmtId="168" fontId="39" fillId="4" borderId="1" xfId="7" applyNumberFormat="1" applyFont="1" applyFill="1" applyBorder="1" applyAlignment="1" applyProtection="1">
      <alignment horizontal="center" vertical="center"/>
      <protection locked="0"/>
    </xf>
    <xf numFmtId="168" fontId="39" fillId="19" borderId="1" xfId="7" applyNumberFormat="1" applyFont="1" applyFill="1" applyBorder="1" applyAlignment="1" applyProtection="1">
      <alignment horizontal="center" vertical="center"/>
      <protection locked="0"/>
    </xf>
    <xf numFmtId="171" fontId="39" fillId="0" borderId="1" xfId="7" applyNumberFormat="1" applyFont="1" applyFill="1" applyBorder="1" applyAlignment="1" applyProtection="1">
      <alignment horizontal="center" vertical="center"/>
      <protection locked="0"/>
    </xf>
    <xf numFmtId="168" fontId="39" fillId="0" borderId="1" xfId="7" applyNumberFormat="1" applyFont="1" applyFill="1" applyBorder="1" applyAlignment="1" applyProtection="1">
      <alignment horizontal="center" vertical="center"/>
      <protection locked="0"/>
    </xf>
    <xf numFmtId="172" fontId="39" fillId="0" borderId="1" xfId="2" applyNumberFormat="1" applyFont="1" applyFill="1" applyBorder="1" applyAlignment="1" applyProtection="1">
      <alignment horizontal="center" vertical="center"/>
      <protection locked="0"/>
    </xf>
    <xf numFmtId="171" fontId="39" fillId="3" borderId="1" xfId="7" applyNumberFormat="1" applyFont="1" applyFill="1" applyBorder="1" applyAlignment="1" applyProtection="1">
      <alignment horizontal="center" vertical="center"/>
      <protection locked="0"/>
    </xf>
    <xf numFmtId="0" fontId="39" fillId="4" borderId="1" xfId="0" applyFont="1" applyFill="1" applyBorder="1" applyAlignment="1">
      <alignment vertical="center" wrapText="1"/>
    </xf>
    <xf numFmtId="0" fontId="83" fillId="0" borderId="0" xfId="49" applyFont="1"/>
    <xf numFmtId="0" fontId="84" fillId="0" borderId="0" xfId="49" applyFont="1" applyAlignment="1">
      <alignment horizontal="center"/>
    </xf>
    <xf numFmtId="0" fontId="83" fillId="0" borderId="0" xfId="49" applyFont="1" applyAlignment="1">
      <alignment horizontal="center"/>
    </xf>
    <xf numFmtId="0" fontId="83" fillId="0" borderId="2" xfId="49" applyFont="1" applyBorder="1" applyAlignment="1">
      <alignment horizontal="center" vertical="center" wrapText="1"/>
    </xf>
    <xf numFmtId="0" fontId="83" fillId="0" borderId="3" xfId="49" applyFont="1" applyBorder="1" applyAlignment="1">
      <alignment horizontal="center" vertical="center" wrapText="1"/>
    </xf>
    <xf numFmtId="0" fontId="83" fillId="0" borderId="4" xfId="49" applyFont="1" applyBorder="1" applyAlignment="1">
      <alignment horizontal="center" vertical="center" wrapText="1"/>
    </xf>
    <xf numFmtId="0" fontId="83" fillId="0" borderId="5" xfId="49" applyFont="1" applyBorder="1" applyAlignment="1">
      <alignment horizontal="center" vertical="center" wrapText="1"/>
    </xf>
    <xf numFmtId="0" fontId="86" fillId="0" borderId="2" xfId="49" applyFont="1" applyBorder="1" applyAlignment="1">
      <alignment horizontal="center" vertical="center"/>
    </xf>
    <xf numFmtId="0" fontId="86" fillId="0" borderId="3" xfId="49" applyFont="1" applyBorder="1" applyAlignment="1">
      <alignment horizontal="center" vertical="center"/>
    </xf>
    <xf numFmtId="0" fontId="86" fillId="0" borderId="11" xfId="49" applyFont="1" applyBorder="1" applyAlignment="1">
      <alignment horizontal="center" vertical="center"/>
    </xf>
    <xf numFmtId="0" fontId="83" fillId="0" borderId="6" xfId="49" applyFont="1" applyBorder="1" applyAlignment="1">
      <alignment horizontal="center" vertical="center" wrapText="1"/>
    </xf>
    <xf numFmtId="0" fontId="85" fillId="18" borderId="4" xfId="49" applyFont="1" applyFill="1" applyBorder="1"/>
    <xf numFmtId="0" fontId="85" fillId="18" borderId="6" xfId="49" applyFont="1" applyFill="1" applyBorder="1"/>
    <xf numFmtId="0" fontId="85" fillId="18" borderId="5" xfId="49" applyFont="1" applyFill="1" applyBorder="1"/>
    <xf numFmtId="0" fontId="86" fillId="0" borderId="2" xfId="49" applyFont="1" applyBorder="1"/>
    <xf numFmtId="0" fontId="86" fillId="0" borderId="3" xfId="49" applyFont="1" applyBorder="1"/>
    <xf numFmtId="0" fontId="18" fillId="4" borderId="4" xfId="0" applyFont="1" applyFill="1" applyBorder="1" applyAlignment="1">
      <alignment horizontal="left" vertical="center" wrapText="1"/>
    </xf>
    <xf numFmtId="0" fontId="18" fillId="4" borderId="6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171" fontId="3" fillId="17" borderId="1" xfId="7" applyNumberFormat="1" applyFont="1" applyFill="1" applyBorder="1" applyAlignment="1" applyProtection="1">
      <alignment horizontal="center" vertical="center" wrapText="1"/>
      <protection locked="0"/>
    </xf>
    <xf numFmtId="172" fontId="3" fillId="17" borderId="2" xfId="2" applyNumberFormat="1" applyFont="1" applyFill="1" applyBorder="1" applyAlignment="1" applyProtection="1">
      <alignment horizontal="center" vertical="center" wrapText="1"/>
      <protection locked="0"/>
    </xf>
    <xf numFmtId="172" fontId="3" fillId="17" borderId="3" xfId="2" applyNumberFormat="1" applyFont="1" applyFill="1" applyBorder="1" applyAlignment="1" applyProtection="1">
      <alignment horizontal="center" vertical="center" wrapText="1"/>
      <protection locked="0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68" fontId="39" fillId="21" borderId="4" xfId="7" applyNumberFormat="1" applyFont="1" applyFill="1" applyBorder="1" applyAlignment="1" applyProtection="1">
      <alignment horizontal="center" vertical="center"/>
      <protection locked="0"/>
    </xf>
    <xf numFmtId="168" fontId="39" fillId="21" borderId="6" xfId="7" applyNumberFormat="1" applyFont="1" applyFill="1" applyBorder="1" applyAlignment="1" applyProtection="1">
      <alignment horizontal="center" vertical="center"/>
      <protection locked="0"/>
    </xf>
    <xf numFmtId="168" fontId="39" fillId="21" borderId="5" xfId="7" applyNumberFormat="1" applyFont="1" applyFill="1" applyBorder="1" applyAlignment="1" applyProtection="1">
      <alignment horizontal="center" vertical="center"/>
      <protection locked="0"/>
    </xf>
    <xf numFmtId="164" fontId="19" fillId="0" borderId="7" xfId="4" applyFont="1" applyBorder="1" applyAlignment="1">
      <alignment horizontal="center" vertical="center" wrapText="1"/>
    </xf>
    <xf numFmtId="164" fontId="31" fillId="0" borderId="7" xfId="4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71" fontId="3" fillId="0" borderId="1" xfId="7" applyNumberFormat="1" applyFont="1" applyFill="1" applyBorder="1" applyAlignment="1">
      <alignment horizontal="center" vertical="center" wrapText="1"/>
    </xf>
    <xf numFmtId="171" fontId="3" fillId="15" borderId="1" xfId="0" applyNumberFormat="1" applyFont="1" applyFill="1" applyBorder="1" applyAlignment="1">
      <alignment horizontal="center" vertical="center" textRotation="180"/>
    </xf>
    <xf numFmtId="0" fontId="3" fillId="15" borderId="1" xfId="0" applyNumberFormat="1" applyFont="1" applyFill="1" applyBorder="1" applyAlignment="1">
      <alignment horizontal="center" vertical="center" textRotation="180" wrapText="1"/>
    </xf>
    <xf numFmtId="0" fontId="3" fillId="15" borderId="1" xfId="0" applyNumberFormat="1" applyFont="1" applyFill="1" applyBorder="1" applyAlignment="1">
      <alignment horizontal="center" vertical="center" textRotation="180"/>
    </xf>
    <xf numFmtId="171" fontId="3" fillId="17" borderId="2" xfId="7" applyNumberFormat="1" applyFont="1" applyFill="1" applyBorder="1" applyAlignment="1" applyProtection="1">
      <alignment horizontal="center" vertical="center" wrapText="1"/>
      <protection locked="0"/>
    </xf>
    <xf numFmtId="171" fontId="3" fillId="17" borderId="3" xfId="7" applyNumberFormat="1" applyFont="1" applyFill="1" applyBorder="1" applyAlignment="1" applyProtection="1">
      <alignment horizontal="center" vertical="center" wrapText="1"/>
      <protection locked="0"/>
    </xf>
    <xf numFmtId="0" fontId="18" fillId="4" borderId="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 vertical="center" textRotation="180" wrapText="1"/>
    </xf>
    <xf numFmtId="0" fontId="3" fillId="17" borderId="1" xfId="0" applyNumberFormat="1" applyFont="1" applyFill="1" applyBorder="1" applyAlignment="1">
      <alignment horizontal="center" vertical="center" textRotation="180"/>
    </xf>
    <xf numFmtId="0" fontId="15" fillId="5" borderId="0" xfId="0" applyNumberFormat="1" applyFont="1" applyFill="1" applyBorder="1" applyAlignment="1" applyProtection="1">
      <alignment horizontal="center"/>
    </xf>
    <xf numFmtId="0" fontId="15" fillId="0" borderId="0" xfId="0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15" fillId="15" borderId="1" xfId="0" applyNumberFormat="1" applyFont="1" applyFill="1" applyBorder="1" applyAlignment="1">
      <alignment horizontal="center" vertical="center" textRotation="180" wrapText="1"/>
    </xf>
    <xf numFmtId="0" fontId="13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171" fontId="15" fillId="16" borderId="1" xfId="7" applyNumberFormat="1" applyFont="1" applyFill="1" applyBorder="1" applyAlignment="1" applyProtection="1">
      <alignment horizontal="center" vertical="center" wrapText="1"/>
      <protection locked="0"/>
    </xf>
    <xf numFmtId="164" fontId="31" fillId="0" borderId="7" xfId="4" applyFont="1" applyFill="1" applyBorder="1" applyAlignment="1">
      <alignment horizontal="center" vertical="center" wrapText="1"/>
    </xf>
    <xf numFmtId="171" fontId="15" fillId="4" borderId="1" xfId="7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53" fillId="0" borderId="0" xfId="0" applyFont="1" applyFill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0" fontId="18" fillId="0" borderId="1" xfId="0" applyFont="1" applyFill="1" applyBorder="1" applyAlignment="1" applyProtection="1">
      <alignment horizontal="left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18" fillId="0" borderId="4" xfId="0" applyFont="1" applyFill="1" applyBorder="1" applyAlignment="1" applyProtection="1">
      <alignment horizontal="left"/>
      <protection locked="0"/>
    </xf>
    <xf numFmtId="0" fontId="18" fillId="0" borderId="6" xfId="0" applyFont="1" applyFill="1" applyBorder="1" applyAlignment="1" applyProtection="1">
      <alignment horizontal="left"/>
      <protection locked="0"/>
    </xf>
    <xf numFmtId="0" fontId="18" fillId="0" borderId="5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9" xfId="0" applyFont="1" applyFill="1" applyBorder="1" applyAlignment="1" applyProtection="1">
      <alignment horizontal="center" vertical="center" wrapText="1"/>
      <protection locked="0"/>
    </xf>
    <xf numFmtId="0" fontId="51" fillId="0" borderId="0" xfId="0" applyFont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 wrapText="1"/>
      <protection locked="0"/>
    </xf>
    <xf numFmtId="14" fontId="4" fillId="0" borderId="9" xfId="0" applyNumberFormat="1" applyFont="1" applyBorder="1" applyAlignment="1" applyProtection="1">
      <alignment horizontal="center" vertical="center" wrapText="1"/>
      <protection locked="0"/>
    </xf>
    <xf numFmtId="14" fontId="4" fillId="0" borderId="3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4" fontId="39" fillId="0" borderId="1" xfId="0" applyNumberFormat="1" applyFont="1" applyBorder="1" applyAlignment="1">
      <alignment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 applyProtection="1">
      <alignment horizontal="center" vertical="center"/>
    </xf>
    <xf numFmtId="1" fontId="39" fillId="14" borderId="1" xfId="0" applyNumberFormat="1" applyFont="1" applyFill="1" applyBorder="1" applyAlignment="1" applyProtection="1">
      <alignment horizontal="center" vertical="center"/>
    </xf>
    <xf numFmtId="1" fontId="39" fillId="2" borderId="1" xfId="0" applyNumberFormat="1" applyFont="1" applyFill="1" applyBorder="1" applyAlignment="1" applyProtection="1">
      <alignment horizontal="center" vertical="center"/>
      <protection locked="0"/>
    </xf>
    <xf numFmtId="0" fontId="39" fillId="14" borderId="1" xfId="0" applyFont="1" applyFill="1" applyBorder="1" applyAlignment="1" applyProtection="1">
      <alignment horizontal="center" vertical="center"/>
      <protection locked="0"/>
    </xf>
    <xf numFmtId="1" fontId="39" fillId="0" borderId="1" xfId="0" applyNumberFormat="1" applyFont="1" applyFill="1" applyBorder="1" applyAlignment="1" applyProtection="1">
      <alignment horizontal="center" vertical="center"/>
    </xf>
    <xf numFmtId="3" fontId="39" fillId="0" borderId="1" xfId="0" applyNumberFormat="1" applyFont="1" applyFill="1" applyBorder="1" applyAlignment="1" applyProtection="1">
      <alignment horizontal="center" vertical="center"/>
      <protection locked="0"/>
    </xf>
    <xf numFmtId="3" fontId="12" fillId="0" borderId="1" xfId="0" applyNumberFormat="1" applyFont="1" applyFill="1" applyBorder="1" applyAlignment="1" applyProtection="1">
      <alignment horizontal="center" vertical="center"/>
    </xf>
    <xf numFmtId="3" fontId="39" fillId="4" borderId="1" xfId="0" applyNumberFormat="1" applyFont="1" applyFill="1" applyBorder="1" applyAlignment="1" applyProtection="1">
      <alignment horizontal="center" vertical="center"/>
    </xf>
    <xf numFmtId="3" fontId="39" fillId="4" borderId="1" xfId="0" applyNumberFormat="1" applyFont="1" applyFill="1" applyBorder="1" applyAlignment="1" applyProtection="1">
      <alignment horizontal="center" vertical="center"/>
      <protection locked="0"/>
    </xf>
    <xf numFmtId="3" fontId="39" fillId="10" borderId="1" xfId="0" applyNumberFormat="1" applyFont="1" applyFill="1" applyBorder="1" applyAlignment="1" applyProtection="1">
      <alignment horizontal="center" vertical="center"/>
    </xf>
    <xf numFmtId="3" fontId="39" fillId="13" borderId="1" xfId="1" applyNumberFormat="1" applyFont="1" applyFill="1" applyBorder="1" applyAlignment="1" applyProtection="1">
      <alignment horizontal="center" vertical="center"/>
      <protection locked="0"/>
    </xf>
    <xf numFmtId="3" fontId="39" fillId="0" borderId="1" xfId="1" applyNumberFormat="1" applyFont="1" applyFill="1" applyBorder="1" applyAlignment="1" applyProtection="1">
      <alignment horizontal="center" vertical="center"/>
      <protection locked="0"/>
    </xf>
    <xf numFmtId="3" fontId="39" fillId="10" borderId="1" xfId="1" applyNumberFormat="1" applyFont="1" applyFill="1" applyBorder="1" applyAlignment="1" applyProtection="1">
      <alignment horizontal="center" vertical="center"/>
      <protection locked="0"/>
    </xf>
    <xf numFmtId="176" fontId="39" fillId="4" borderId="1" xfId="1" applyNumberFormat="1" applyFont="1" applyFill="1" applyBorder="1" applyAlignment="1" applyProtection="1">
      <alignment horizontal="center" vertical="center"/>
    </xf>
    <xf numFmtId="0" fontId="25" fillId="0" borderId="0" xfId="0" applyFont="1" applyAlignment="1" applyProtection="1">
      <alignment vertical="center"/>
      <protection locked="0"/>
    </xf>
  </cellXfs>
  <cellStyles count="50">
    <cellStyle name="Comma" xfId="1" builtinId="3"/>
    <cellStyle name="Comma [0] 2" xfId="11"/>
    <cellStyle name="Comma 2" xfId="3"/>
    <cellStyle name="Comma 3" xfId="2"/>
    <cellStyle name="Normal" xfId="0" builtinId="0"/>
    <cellStyle name="Normal 10" xfId="18"/>
    <cellStyle name="Normal 11" xfId="19"/>
    <cellStyle name="Normal 12" xfId="20"/>
    <cellStyle name="Normal 13" xfId="21"/>
    <cellStyle name="Normal 14" xfId="22"/>
    <cellStyle name="Normal 15" xfId="23"/>
    <cellStyle name="Normal 16" xfId="24"/>
    <cellStyle name="Normal 17" xfId="25"/>
    <cellStyle name="Normal 18" xfId="26"/>
    <cellStyle name="Normal 19" xfId="27"/>
    <cellStyle name="Normal 2" xfId="5"/>
    <cellStyle name="Normal 20" xfId="28"/>
    <cellStyle name="Normal 21" xfId="29"/>
    <cellStyle name="Normal 22" xfId="30"/>
    <cellStyle name="Normal 23" xfId="4"/>
    <cellStyle name="Normal 24" xfId="31"/>
    <cellStyle name="Normal 25" xfId="32"/>
    <cellStyle name="Normal 26" xfId="33"/>
    <cellStyle name="Normal 27" xfId="34"/>
    <cellStyle name="Normal 28" xfId="35"/>
    <cellStyle name="Normal 29" xfId="36"/>
    <cellStyle name="Normal 3" xfId="6"/>
    <cellStyle name="Normal 30" xfId="37"/>
    <cellStyle name="Normal 31" xfId="38"/>
    <cellStyle name="Normal 32" xfId="39"/>
    <cellStyle name="Normal 33" xfId="40"/>
    <cellStyle name="Normal 34" xfId="41"/>
    <cellStyle name="Normal 35" xfId="42"/>
    <cellStyle name="Normal 36" xfId="43"/>
    <cellStyle name="Normal 37" xfId="44"/>
    <cellStyle name="Normal 38" xfId="45"/>
    <cellStyle name="Normal 39" xfId="46"/>
    <cellStyle name="Normal 4" xfId="10"/>
    <cellStyle name="Normal 40" xfId="47"/>
    <cellStyle name="Normal 41" xfId="48"/>
    <cellStyle name="Normal 42" xfId="49"/>
    <cellStyle name="Normal 5" xfId="12"/>
    <cellStyle name="Normal 6" xfId="13"/>
    <cellStyle name="Normal 7" xfId="14"/>
    <cellStyle name="Normal 8" xfId="15"/>
    <cellStyle name="Normal 9" xfId="17"/>
    <cellStyle name="Percent 2" xfId="16"/>
    <cellStyle name="Style 1" xfId="8"/>
    <cellStyle name="一般_1110行业采财" xfId="7"/>
    <cellStyle name="樣式 1" xfId="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&#7871;n.2021/L&#432;&#417;ng/L&#432;&#417;ng%20Setup/L&#432;&#417;ng%20Vi&#7879;t%20B&#7897;%20-%20M&#7851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ngatang"/>
      <sheetName val="Lương"/>
      <sheetName val="Giữ lương"/>
      <sheetName val="Khấu trừ ĐP"/>
      <sheetName val="PHIẾU LƯƠNG"/>
      <sheetName val="TỶ LỆ"/>
      <sheetName val="THƯỞNG THI ĐUA CỬA HÀNG"/>
      <sheetName val="VIỆT BỘ - LƯƠNG THÁNG 09.20 (中文"/>
      <sheetName val="Phiếu lương T"/>
    </sheetNames>
    <sheetDataSet>
      <sheetData sheetId="0"/>
      <sheetData sheetId="1">
        <row r="6">
          <cell r="C6">
            <v>25</v>
          </cell>
          <cell r="D6" t="str">
            <v>Số ngày công chuẩn cửa hàng</v>
          </cell>
          <cell r="E6">
            <v>27</v>
          </cell>
          <cell r="I6">
            <v>46233</v>
          </cell>
          <cell r="J6" t="str">
            <v>check TV</v>
          </cell>
          <cell r="T6" t="str">
            <v>check xem có vượt công chuẩn k</v>
          </cell>
          <cell r="AX6" t="str">
            <v>Check âm</v>
          </cell>
          <cell r="AY6" t="str">
            <v>chỉnh lại ct vs NV tô vàng</v>
          </cell>
          <cell r="BC6" t="str">
            <v>ĐVT: VNĐ</v>
          </cell>
          <cell r="BF6" t="str">
            <v>CHECK LẠI CÔNG THỨC</v>
          </cell>
        </row>
        <row r="7">
          <cell r="C7" t="str">
            <v xml:space="preserve">Mã nhân viên
</v>
          </cell>
          <cell r="D7" t="str">
            <v xml:space="preserve">Họ và tên 
</v>
          </cell>
          <cell r="E7" t="str">
            <v xml:space="preserve">Chức vụ 
</v>
          </cell>
          <cell r="F7" t="str">
            <v>Cấp bậc</v>
          </cell>
          <cell r="G7" t="str">
            <v xml:space="preserve">Ngày vào làm
</v>
          </cell>
          <cell r="H7" t="str">
            <v xml:space="preserve">Ngày làm chính thức theo HĐLĐ
</v>
          </cell>
          <cell r="I7" t="str">
            <v>Thâm niên
(Tính đủ năm)</v>
          </cell>
          <cell r="J7" t="str">
            <v xml:space="preserve">Phân loại nhân viên
</v>
          </cell>
          <cell r="K7" t="str">
            <v xml:space="preserve">Số ngày công chuẩn
</v>
          </cell>
          <cell r="L7" t="str">
            <v>Số ngày công thực tế</v>
          </cell>
          <cell r="T7" t="str">
            <v xml:space="preserve">Tổng công
(Ngày)
</v>
          </cell>
          <cell r="U7" t="str">
            <v xml:space="preserve">Tổng thu nhập trên HĐLĐ 
</v>
          </cell>
          <cell r="V7" t="str">
            <v xml:space="preserve">Hỗ trợ ăn trưa 
</v>
          </cell>
          <cell r="W7" t="str">
            <v xml:space="preserve">Hỗ trợ liên lạc 
</v>
          </cell>
          <cell r="X7" t="str">
            <v xml:space="preserve">Hỗ trợ đi lại 
</v>
          </cell>
          <cell r="Y7" t="str">
            <v xml:space="preserve">Hỗ trợ trang phục
</v>
          </cell>
          <cell r="Z7" t="str">
            <v xml:space="preserve">Tổng lương theo HĐLĐ  và các khoản hỗ trợ 
</v>
          </cell>
          <cell r="AA7" t="str">
            <v xml:space="preserve">Tổng lương theo HĐLĐ và các khoản hỗ trợ theo ngày công chính thức
</v>
          </cell>
          <cell r="AB7" t="str">
            <v xml:space="preserve">Lương thử việc
</v>
          </cell>
          <cell r="AC7" t="str">
            <v xml:space="preserve">Lương ngày đóng cửa
</v>
          </cell>
          <cell r="AD7" t="str">
            <v xml:space="preserve">Tổng lương và các khoản hỗ trợ thực tế
</v>
          </cell>
          <cell r="AE7" t="str">
            <v>Hỗ trợ thị trường</v>
          </cell>
          <cell r="AF7" t="str">
            <v xml:space="preserve">Thưởng chuyên cần
</v>
          </cell>
          <cell r="AG7" t="str">
            <v xml:space="preserve">Tiền hỗ trợ cửa hàng 
</v>
          </cell>
          <cell r="AH7" t="str">
            <v xml:space="preserve">Hoa hồng bán hàng
</v>
          </cell>
          <cell r="AI7" t="str">
            <v>Tiền lương tăng ca ngày thường</v>
          </cell>
          <cell r="AJ7" t="str">
            <v>Tiền lương tăng ca ngày nghỉ</v>
          </cell>
          <cell r="AK7" t="str">
            <v>Tiền lương tăng ca ngày lễ</v>
          </cell>
          <cell r="AL7" t="str">
            <v xml:space="preserve">Tiền lương tăng ca đêm  </v>
          </cell>
          <cell r="AM7" t="str">
            <v xml:space="preserve">Thưởng hiệu suất </v>
          </cell>
          <cell r="AN7" t="str">
            <v>Thưởng khác</v>
          </cell>
          <cell r="AO7" t="str">
            <v>TRUY THU</v>
          </cell>
          <cell r="AP7" t="str">
            <v>Thưởng hỗ trợ bán hàng</v>
          </cell>
          <cell r="AQ7" t="str">
            <v xml:space="preserve">Tổng thu nhập theo ngày công thực tế
</v>
          </cell>
          <cell r="AR7" t="str">
            <v xml:space="preserve">Tổng thu nhập
</v>
          </cell>
          <cell r="AS7" t="str">
            <v xml:space="preserve">BHXH NLĐ
10.5%
</v>
          </cell>
          <cell r="AT7" t="str">
            <v xml:space="preserve">BHXH CÔNG TY
21.5%
</v>
          </cell>
          <cell r="AU7" t="str">
            <v>Công đoàn NLĐ
0.5%</v>
          </cell>
          <cell r="AV7" t="str">
            <v xml:space="preserve">Công đoàn Công ty 2%
</v>
          </cell>
          <cell r="AW7" t="str">
            <v xml:space="preserve">Giảm trừ gia cảnh/  Người phụ thuộc </v>
          </cell>
          <cell r="AX7" t="str">
            <v xml:space="preserve">Thu nhập chịu thuế
</v>
          </cell>
          <cell r="AY7" t="str">
            <v xml:space="preserve">Thu nhập tính thuế 
</v>
          </cell>
          <cell r="AZ7" t="str">
            <v xml:space="preserve">Thuế TNCN
</v>
          </cell>
          <cell r="BA7" t="str">
            <v xml:space="preserve">Truy thu
</v>
          </cell>
          <cell r="BB7" t="str">
            <v xml:space="preserve">Trừ khác
</v>
          </cell>
          <cell r="BC7" t="str">
            <v xml:space="preserve">Tổng các khoản trừ
</v>
          </cell>
          <cell r="BD7" t="str">
            <v>CỘNG KHÁC</v>
          </cell>
          <cell r="BE7" t="str">
            <v xml:space="preserve">Thực lĩnh
</v>
          </cell>
          <cell r="BF7" t="str">
            <v xml:space="preserve">THỰC CHI
</v>
          </cell>
          <cell r="BG7" t="str">
            <v xml:space="preserve">Chi chú
</v>
          </cell>
          <cell r="BH7" t="str">
            <v xml:space="preserve">Số tài khoản
</v>
          </cell>
          <cell r="BI7" t="str">
            <v xml:space="preserve">Ngân hàng
</v>
          </cell>
          <cell r="BJ7" t="str">
            <v>Ngày nghỉ việc</v>
          </cell>
          <cell r="BK7" t="str">
            <v>GHI CHÚ</v>
          </cell>
        </row>
        <row r="8">
          <cell r="L8" t="str">
            <v xml:space="preserve">Ngày công chính thức
</v>
          </cell>
          <cell r="M8" t="str">
            <v xml:space="preserve">Ngày công thử việc
</v>
          </cell>
          <cell r="N8" t="str">
            <v>Giờ tăng ca ngày thường (giờ)</v>
          </cell>
          <cell r="O8" t="str">
            <v>Giờ tăng ca ngày nghỉ hàng tuần (Giờ)</v>
          </cell>
          <cell r="P8" t="str">
            <v>Giờ tăng ca ngày lễ (giờ)</v>
          </cell>
          <cell r="Q8" t="str">
            <v xml:space="preserve">Giờ tăng ca đêm (giờ)
</v>
          </cell>
          <cell r="R8" t="str">
            <v>Ngày công CH Đóng cửa/VP làm Onl</v>
          </cell>
          <cell r="S8" t="str">
            <v>Ngày lễ đi làm (Ngày)</v>
          </cell>
        </row>
        <row r="9">
          <cell r="C9" t="str">
            <v>VB00005</v>
          </cell>
          <cell r="D9" t="str">
            <v>NGUYỄN THỊ MAI HOA</v>
          </cell>
          <cell r="E9" t="str">
            <v>CHT</v>
          </cell>
          <cell r="F9" t="str">
            <v>Cao cấp</v>
          </cell>
          <cell r="G9">
            <v>43683</v>
          </cell>
          <cell r="H9">
            <v>43683</v>
          </cell>
          <cell r="I9">
            <v>6</v>
          </cell>
          <cell r="J9" t="str">
            <v>Chính thức</v>
          </cell>
          <cell r="K9">
            <v>27</v>
          </cell>
          <cell r="L9">
            <v>26</v>
          </cell>
          <cell r="M9">
            <v>0</v>
          </cell>
          <cell r="N9">
            <v>5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26</v>
          </cell>
          <cell r="U9">
            <v>5860000</v>
          </cell>
          <cell r="V9">
            <v>700000</v>
          </cell>
          <cell r="W9">
            <v>2000000</v>
          </cell>
          <cell r="X9">
            <v>1100000</v>
          </cell>
          <cell r="Y9">
            <v>400000</v>
          </cell>
          <cell r="Z9">
            <v>10060000</v>
          </cell>
          <cell r="AA9">
            <v>9687407.4074074067</v>
          </cell>
          <cell r="AB9">
            <v>0</v>
          </cell>
          <cell r="AC9">
            <v>0</v>
          </cell>
          <cell r="AD9">
            <v>9687407.4074074067</v>
          </cell>
          <cell r="AF9">
            <v>350000</v>
          </cell>
          <cell r="AH9">
            <v>2344081.7647058824</v>
          </cell>
          <cell r="AI9">
            <v>203472.22222222222</v>
          </cell>
          <cell r="AJ9">
            <v>0</v>
          </cell>
          <cell r="AK9">
            <v>0</v>
          </cell>
          <cell r="AL9">
            <v>0</v>
          </cell>
          <cell r="AN9">
            <v>0</v>
          </cell>
          <cell r="AP9">
            <v>0</v>
          </cell>
          <cell r="AQ9">
            <v>12584961</v>
          </cell>
          <cell r="AR9">
            <v>12584961</v>
          </cell>
          <cell r="AS9">
            <v>615300</v>
          </cell>
          <cell r="AT9">
            <v>1259900</v>
          </cell>
          <cell r="AU9">
            <v>29300</v>
          </cell>
          <cell r="AV9">
            <v>117200</v>
          </cell>
          <cell r="AW9">
            <v>27900000</v>
          </cell>
          <cell r="AX9">
            <v>9281489</v>
          </cell>
          <cell r="AY9">
            <v>0</v>
          </cell>
          <cell r="AZ9">
            <v>0</v>
          </cell>
          <cell r="BC9">
            <v>644600</v>
          </cell>
          <cell r="BE9">
            <v>11940361</v>
          </cell>
          <cell r="BF9">
            <v>11940361</v>
          </cell>
          <cell r="BG9" t="str">
            <v>CK</v>
          </cell>
          <cell r="BH9" t="str">
            <v>2680348464</v>
          </cell>
          <cell r="BI9" t="str">
            <v>Ngân hàng TMCP Đầu tư và Phát triển  Việt Nam (BIDV)</v>
          </cell>
        </row>
        <row r="10">
          <cell r="C10" t="str">
            <v>VB00098</v>
          </cell>
          <cell r="D10" t="str">
            <v>VŨ THỊ TRÀ GIANG</v>
          </cell>
          <cell r="E10" t="str">
            <v xml:space="preserve">NVBH </v>
          </cell>
          <cell r="F10" t="str">
            <v>Cao cấp</v>
          </cell>
          <cell r="G10">
            <v>44358</v>
          </cell>
          <cell r="H10">
            <v>44498</v>
          </cell>
          <cell r="I10">
            <v>5</v>
          </cell>
          <cell r="J10" t="str">
            <v>Chính thức</v>
          </cell>
          <cell r="K10">
            <v>27</v>
          </cell>
          <cell r="L10">
            <v>26</v>
          </cell>
          <cell r="M10">
            <v>0</v>
          </cell>
          <cell r="N10">
            <v>12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26</v>
          </cell>
          <cell r="U10">
            <v>5310000</v>
          </cell>
          <cell r="V10">
            <v>700000</v>
          </cell>
          <cell r="W10">
            <v>1000000</v>
          </cell>
          <cell r="X10">
            <v>750000</v>
          </cell>
          <cell r="Y10">
            <v>400000</v>
          </cell>
          <cell r="Z10">
            <v>8160000</v>
          </cell>
          <cell r="AA10">
            <v>7857777.777777778</v>
          </cell>
          <cell r="AB10">
            <v>0</v>
          </cell>
          <cell r="AC10">
            <v>0</v>
          </cell>
          <cell r="AD10">
            <v>7857777.777777778</v>
          </cell>
          <cell r="AF10">
            <v>350000</v>
          </cell>
          <cell r="AH10">
            <v>1024977.8823529412</v>
          </cell>
          <cell r="AI10">
            <v>442500</v>
          </cell>
          <cell r="AJ10">
            <v>0</v>
          </cell>
          <cell r="AK10">
            <v>0</v>
          </cell>
          <cell r="AL10">
            <v>0</v>
          </cell>
          <cell r="AN10">
            <v>0</v>
          </cell>
          <cell r="AP10">
            <v>0</v>
          </cell>
          <cell r="AQ10">
            <v>9675256</v>
          </cell>
          <cell r="AR10">
            <v>9675256</v>
          </cell>
          <cell r="AS10">
            <v>557550</v>
          </cell>
          <cell r="AT10">
            <v>1141650</v>
          </cell>
          <cell r="AU10">
            <v>26550</v>
          </cell>
          <cell r="AV10">
            <v>106200</v>
          </cell>
          <cell r="AW10">
            <v>15500000</v>
          </cell>
          <cell r="AX10">
            <v>7132756</v>
          </cell>
          <cell r="AY10">
            <v>0</v>
          </cell>
          <cell r="AZ10">
            <v>0</v>
          </cell>
          <cell r="BC10">
            <v>584100</v>
          </cell>
          <cell r="BE10">
            <v>9091156</v>
          </cell>
          <cell r="BF10">
            <v>9091156</v>
          </cell>
          <cell r="BG10" t="str">
            <v>CK</v>
          </cell>
          <cell r="BH10">
            <v>2224268409</v>
          </cell>
          <cell r="BI10" t="str">
            <v>BIDV</v>
          </cell>
        </row>
        <row r="11">
          <cell r="C11" t="str">
            <v>VB00491</v>
          </cell>
          <cell r="D11" t="str">
            <v>NGUYỄN THỊ NHƯ</v>
          </cell>
          <cell r="E11" t="str">
            <v xml:space="preserve">NVBH </v>
          </cell>
          <cell r="F11" t="str">
            <v>Cao cấp</v>
          </cell>
          <cell r="G11">
            <v>45638</v>
          </cell>
          <cell r="H11">
            <v>45699</v>
          </cell>
          <cell r="I11">
            <v>1</v>
          </cell>
          <cell r="J11" t="str">
            <v>Chính thức</v>
          </cell>
          <cell r="K11">
            <v>27</v>
          </cell>
          <cell r="L11">
            <v>26</v>
          </cell>
          <cell r="M11">
            <v>0</v>
          </cell>
          <cell r="N11">
            <v>11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26</v>
          </cell>
          <cell r="U11">
            <v>5310000</v>
          </cell>
          <cell r="V11">
            <v>700000</v>
          </cell>
          <cell r="W11">
            <v>1000000</v>
          </cell>
          <cell r="X11">
            <v>750000</v>
          </cell>
          <cell r="Y11">
            <v>400000</v>
          </cell>
          <cell r="Z11">
            <v>8160000</v>
          </cell>
          <cell r="AA11">
            <v>7857777.777777778</v>
          </cell>
          <cell r="AB11">
            <v>0</v>
          </cell>
          <cell r="AC11">
            <v>0</v>
          </cell>
          <cell r="AD11">
            <v>7857777.777777778</v>
          </cell>
          <cell r="AF11">
            <v>350000</v>
          </cell>
          <cell r="AH11">
            <v>1388411.294117647</v>
          </cell>
          <cell r="AI11">
            <v>405624.99999999994</v>
          </cell>
          <cell r="AJ11">
            <v>0</v>
          </cell>
          <cell r="AK11">
            <v>0</v>
          </cell>
          <cell r="AL11">
            <v>0</v>
          </cell>
          <cell r="AN11">
            <v>0</v>
          </cell>
          <cell r="AP11">
            <v>0</v>
          </cell>
          <cell r="AQ11">
            <v>10001814</v>
          </cell>
          <cell r="AR11">
            <v>10001814</v>
          </cell>
          <cell r="AS11">
            <v>557550</v>
          </cell>
          <cell r="AT11">
            <v>1141650</v>
          </cell>
          <cell r="AU11">
            <v>26550</v>
          </cell>
          <cell r="AV11">
            <v>106200</v>
          </cell>
          <cell r="AW11">
            <v>15500000</v>
          </cell>
          <cell r="AX11">
            <v>7496189</v>
          </cell>
          <cell r="AY11">
            <v>0</v>
          </cell>
          <cell r="AZ11">
            <v>0</v>
          </cell>
          <cell r="BC11">
            <v>584100</v>
          </cell>
          <cell r="BE11">
            <v>9417714</v>
          </cell>
          <cell r="BF11">
            <v>9417714</v>
          </cell>
          <cell r="BG11" t="str">
            <v>CK</v>
          </cell>
          <cell r="BH11">
            <v>8854435326</v>
          </cell>
          <cell r="BI11" t="str">
            <v>BIDV</v>
          </cell>
        </row>
        <row r="12">
          <cell r="C12" t="str">
            <v>VB00687</v>
          </cell>
          <cell r="D12" t="str">
            <v>PHÙNG THỊ THU HÀ</v>
          </cell>
          <cell r="E12" t="str">
            <v xml:space="preserve">NVBH </v>
          </cell>
          <cell r="F12" t="str">
            <v>Sơ cấp</v>
          </cell>
          <cell r="G12">
            <v>46143</v>
          </cell>
          <cell r="H12">
            <v>46174</v>
          </cell>
          <cell r="I12">
            <v>0</v>
          </cell>
          <cell r="J12" t="str">
            <v>Chính thức</v>
          </cell>
          <cell r="K12">
            <v>27</v>
          </cell>
          <cell r="L12">
            <v>26</v>
          </cell>
          <cell r="M12">
            <v>0</v>
          </cell>
          <cell r="N12">
            <v>10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26</v>
          </cell>
          <cell r="U12">
            <v>5310000</v>
          </cell>
          <cell r="V12">
            <v>700000</v>
          </cell>
          <cell r="W12">
            <v>350000</v>
          </cell>
          <cell r="X12">
            <v>500000</v>
          </cell>
          <cell r="Y12">
            <v>0</v>
          </cell>
          <cell r="Z12">
            <v>6860000</v>
          </cell>
          <cell r="AA12">
            <v>6605925.9259259263</v>
          </cell>
          <cell r="AB12">
            <v>0</v>
          </cell>
          <cell r="AC12">
            <v>0</v>
          </cell>
          <cell r="AD12">
            <v>6605925.9259259263</v>
          </cell>
          <cell r="AF12">
            <v>350000</v>
          </cell>
          <cell r="AH12">
            <v>1455196.2352941176</v>
          </cell>
          <cell r="AI12">
            <v>368750</v>
          </cell>
          <cell r="AJ12">
            <v>0</v>
          </cell>
          <cell r="AK12">
            <v>0</v>
          </cell>
          <cell r="AL12">
            <v>0</v>
          </cell>
          <cell r="AN12">
            <v>0</v>
          </cell>
          <cell r="AP12">
            <v>0</v>
          </cell>
          <cell r="AQ12">
            <v>8779872</v>
          </cell>
          <cell r="AR12">
            <v>8779872</v>
          </cell>
          <cell r="AS12">
            <v>557550</v>
          </cell>
          <cell r="AT12">
            <v>1141650</v>
          </cell>
          <cell r="AU12">
            <v>26550</v>
          </cell>
          <cell r="AV12">
            <v>106200</v>
          </cell>
          <cell r="AW12">
            <v>15500000</v>
          </cell>
          <cell r="AX12">
            <v>7361122</v>
          </cell>
          <cell r="AY12">
            <v>0</v>
          </cell>
          <cell r="AZ12">
            <v>0</v>
          </cell>
          <cell r="BB12">
            <v>600000</v>
          </cell>
          <cell r="BC12">
            <v>1184100</v>
          </cell>
          <cell r="BE12">
            <v>7595772</v>
          </cell>
          <cell r="BF12">
            <v>7595772</v>
          </cell>
          <cell r="BG12" t="str">
            <v>CK</v>
          </cell>
          <cell r="BH12">
            <v>8838657933</v>
          </cell>
          <cell r="BI12" t="str">
            <v>BIDV</v>
          </cell>
        </row>
        <row r="13">
          <cell r="C13" t="str">
            <v>VB00688</v>
          </cell>
          <cell r="D13" t="str">
            <v>HOÀNG THU TRANG</v>
          </cell>
          <cell r="E13" t="str">
            <v xml:space="preserve">NVBH </v>
          </cell>
          <cell r="F13" t="str">
            <v>Sơ cấp</v>
          </cell>
          <cell r="G13">
            <v>46143</v>
          </cell>
          <cell r="H13">
            <v>46174</v>
          </cell>
          <cell r="I13">
            <v>0</v>
          </cell>
          <cell r="J13" t="str">
            <v>Chính thức</v>
          </cell>
          <cell r="K13">
            <v>27</v>
          </cell>
          <cell r="L13">
            <v>26</v>
          </cell>
          <cell r="M13">
            <v>0</v>
          </cell>
          <cell r="N13">
            <v>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26</v>
          </cell>
          <cell r="U13">
            <v>5310000</v>
          </cell>
          <cell r="V13">
            <v>700000</v>
          </cell>
          <cell r="W13">
            <v>350000</v>
          </cell>
          <cell r="X13">
            <v>500000</v>
          </cell>
          <cell r="Y13">
            <v>0</v>
          </cell>
          <cell r="Z13">
            <v>6860000</v>
          </cell>
          <cell r="AA13">
            <v>6605925.9259259263</v>
          </cell>
          <cell r="AB13">
            <v>0</v>
          </cell>
          <cell r="AC13">
            <v>0</v>
          </cell>
          <cell r="AD13">
            <v>6605925.9259259263</v>
          </cell>
          <cell r="AF13">
            <v>350000</v>
          </cell>
          <cell r="AH13">
            <v>1329611.294117647</v>
          </cell>
          <cell r="AI13">
            <v>184375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P13">
            <v>0</v>
          </cell>
          <cell r="AQ13">
            <v>8469912</v>
          </cell>
          <cell r="AR13">
            <v>8469912</v>
          </cell>
          <cell r="AS13">
            <v>557550</v>
          </cell>
          <cell r="AT13">
            <v>1141650</v>
          </cell>
          <cell r="AU13">
            <v>26550</v>
          </cell>
          <cell r="AV13">
            <v>106200</v>
          </cell>
          <cell r="AW13">
            <v>15500000</v>
          </cell>
          <cell r="AX13">
            <v>7235537</v>
          </cell>
          <cell r="AY13">
            <v>0</v>
          </cell>
          <cell r="AZ13">
            <v>0</v>
          </cell>
          <cell r="BB13">
            <v>600000</v>
          </cell>
          <cell r="BC13">
            <v>1184100</v>
          </cell>
          <cell r="BE13">
            <v>7285812</v>
          </cell>
          <cell r="BF13">
            <v>7285812</v>
          </cell>
          <cell r="BG13" t="str">
            <v>CK</v>
          </cell>
          <cell r="BH13">
            <v>2611182143</v>
          </cell>
          <cell r="BI13" t="str">
            <v>BIDV</v>
          </cell>
        </row>
        <row r="14">
          <cell r="C14" t="str">
            <v>VB00707</v>
          </cell>
          <cell r="D14" t="str">
            <v>LÊ NGỌC NHI</v>
          </cell>
          <cell r="E14" t="str">
            <v xml:space="preserve">NVBH </v>
          </cell>
          <cell r="F14" t="str">
            <v>Sơ cấp</v>
          </cell>
          <cell r="G14">
            <v>46188</v>
          </cell>
          <cell r="H14">
            <v>46249</v>
          </cell>
          <cell r="I14">
            <v>0</v>
          </cell>
          <cell r="J14" t="str">
            <v>Thử việc</v>
          </cell>
          <cell r="K14">
            <v>27</v>
          </cell>
          <cell r="L14">
            <v>0</v>
          </cell>
          <cell r="M14">
            <v>13.875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13.875</v>
          </cell>
          <cell r="U14">
            <v>5310000</v>
          </cell>
          <cell r="V14">
            <v>700000</v>
          </cell>
          <cell r="W14">
            <v>350000</v>
          </cell>
          <cell r="X14">
            <v>500000</v>
          </cell>
          <cell r="Y14">
            <v>0</v>
          </cell>
          <cell r="Z14">
            <v>6860000</v>
          </cell>
          <cell r="AA14">
            <v>0</v>
          </cell>
          <cell r="AB14">
            <v>2996486.111111111</v>
          </cell>
          <cell r="AD14">
            <v>2996486.111111111</v>
          </cell>
          <cell r="AF14">
            <v>0</v>
          </cell>
          <cell r="AH14">
            <v>427599.5294117647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P14">
            <v>0</v>
          </cell>
          <cell r="AQ14">
            <v>3424086</v>
          </cell>
          <cell r="AR14">
            <v>3424086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15500000</v>
          </cell>
          <cell r="AX14">
            <v>3424086</v>
          </cell>
          <cell r="AY14">
            <v>0</v>
          </cell>
          <cell r="AZ14">
            <v>0</v>
          </cell>
          <cell r="BB14">
            <v>700000</v>
          </cell>
          <cell r="BC14">
            <v>700000</v>
          </cell>
          <cell r="BE14">
            <v>2724086</v>
          </cell>
          <cell r="BF14">
            <v>2724086</v>
          </cell>
          <cell r="BG14" t="str">
            <v>CK</v>
          </cell>
          <cell r="BH14">
            <v>2161031582</v>
          </cell>
          <cell r="BI14" t="str">
            <v>BIDV</v>
          </cell>
        </row>
        <row r="15">
          <cell r="K15">
            <v>162</v>
          </cell>
          <cell r="L15">
            <v>130</v>
          </cell>
          <cell r="M15">
            <v>13.875</v>
          </cell>
          <cell r="N15">
            <v>43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143.875</v>
          </cell>
          <cell r="U15">
            <v>32410000</v>
          </cell>
          <cell r="V15">
            <v>4200000</v>
          </cell>
          <cell r="W15">
            <v>5050000</v>
          </cell>
          <cell r="X15">
            <v>4100000</v>
          </cell>
          <cell r="Y15">
            <v>1200000</v>
          </cell>
          <cell r="Z15">
            <v>46960000</v>
          </cell>
          <cell r="AA15">
            <v>38614814.814814813</v>
          </cell>
          <cell r="AB15">
            <v>2996486.111111111</v>
          </cell>
          <cell r="AC15">
            <v>0</v>
          </cell>
          <cell r="AD15">
            <v>41611300.925925925</v>
          </cell>
          <cell r="AE15">
            <v>0</v>
          </cell>
          <cell r="AF15">
            <v>1750000</v>
          </cell>
          <cell r="AG15">
            <v>0</v>
          </cell>
          <cell r="AH15">
            <v>7969878</v>
          </cell>
          <cell r="AI15">
            <v>1604722.2222222222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52935901</v>
          </cell>
          <cell r="AR15">
            <v>52935901</v>
          </cell>
          <cell r="AS15">
            <v>2845500</v>
          </cell>
          <cell r="AT15">
            <v>5826500</v>
          </cell>
          <cell r="AU15">
            <v>135500</v>
          </cell>
          <cell r="AV15">
            <v>542000</v>
          </cell>
          <cell r="AW15">
            <v>105400000</v>
          </cell>
          <cell r="AX15">
            <v>41931179</v>
          </cell>
          <cell r="AY15">
            <v>0</v>
          </cell>
          <cell r="AZ15">
            <v>0</v>
          </cell>
          <cell r="BA15">
            <v>0</v>
          </cell>
          <cell r="BB15">
            <v>1900000</v>
          </cell>
          <cell r="BC15">
            <v>4881000</v>
          </cell>
          <cell r="BD15">
            <v>0</v>
          </cell>
          <cell r="BE15">
            <v>48054901</v>
          </cell>
          <cell r="BF15">
            <v>48054901</v>
          </cell>
        </row>
        <row r="16">
          <cell r="C16" t="str">
            <v>VB00013</v>
          </cell>
          <cell r="D16" t="str">
            <v>NGUYỄN THỊ DIỆU LINH</v>
          </cell>
          <cell r="E16" t="str">
            <v>CHT</v>
          </cell>
          <cell r="F16" t="str">
            <v>Cao cấp</v>
          </cell>
          <cell r="G16">
            <v>43787</v>
          </cell>
          <cell r="H16">
            <v>43787</v>
          </cell>
          <cell r="I16">
            <v>6</v>
          </cell>
          <cell r="J16" t="str">
            <v>Chính thức</v>
          </cell>
          <cell r="K16">
            <v>27</v>
          </cell>
          <cell r="L16">
            <v>27</v>
          </cell>
          <cell r="M16">
            <v>0</v>
          </cell>
          <cell r="N16">
            <v>35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27</v>
          </cell>
          <cell r="U16">
            <v>5860000</v>
          </cell>
          <cell r="V16">
            <v>700000</v>
          </cell>
          <cell r="W16">
            <v>1000000</v>
          </cell>
          <cell r="X16">
            <v>300000</v>
          </cell>
          <cell r="Y16">
            <v>400000</v>
          </cell>
          <cell r="Z16">
            <v>8260000</v>
          </cell>
          <cell r="AA16">
            <v>8259999.9999999991</v>
          </cell>
          <cell r="AB16">
            <v>0</v>
          </cell>
          <cell r="AC16">
            <v>0</v>
          </cell>
          <cell r="AD16">
            <v>8259999.9999999991</v>
          </cell>
          <cell r="AF16">
            <v>350000</v>
          </cell>
          <cell r="AH16">
            <v>3381516.0000000005</v>
          </cell>
          <cell r="AI16">
            <v>1424305.5555555555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P16">
            <v>0</v>
          </cell>
          <cell r="AQ16">
            <v>13415822</v>
          </cell>
          <cell r="AR16">
            <v>13415822</v>
          </cell>
          <cell r="AS16">
            <v>615300</v>
          </cell>
          <cell r="AT16">
            <v>1259900</v>
          </cell>
          <cell r="AU16">
            <v>29300</v>
          </cell>
          <cell r="AV16">
            <v>117200</v>
          </cell>
          <cell r="AW16">
            <v>15500000</v>
          </cell>
          <cell r="AX16">
            <v>9891516</v>
          </cell>
          <cell r="AY16">
            <v>0</v>
          </cell>
          <cell r="AZ16">
            <v>0</v>
          </cell>
          <cell r="BC16">
            <v>644600</v>
          </cell>
          <cell r="BE16">
            <v>12771222</v>
          </cell>
          <cell r="BF16">
            <v>12771222</v>
          </cell>
          <cell r="BG16" t="str">
            <v>CK</v>
          </cell>
          <cell r="BH16">
            <v>4230197834</v>
          </cell>
          <cell r="BI16" t="str">
            <v>Ngân hàng TMCP Đầu tư và Phát triển  Việt Nam (BIDV)</v>
          </cell>
        </row>
        <row r="17">
          <cell r="C17" t="str">
            <v>VB00154</v>
          </cell>
          <cell r="D17" t="str">
            <v>ĐỖ THÙY LINH</v>
          </cell>
          <cell r="E17" t="str">
            <v>NVBH</v>
          </cell>
          <cell r="F17" t="str">
            <v>Cao cấp</v>
          </cell>
          <cell r="G17">
            <v>44550</v>
          </cell>
          <cell r="H17">
            <v>44246</v>
          </cell>
          <cell r="I17">
            <v>4</v>
          </cell>
          <cell r="J17" t="str">
            <v>Chính thức</v>
          </cell>
          <cell r="K17">
            <v>27</v>
          </cell>
          <cell r="L17">
            <v>27</v>
          </cell>
          <cell r="M17">
            <v>0</v>
          </cell>
          <cell r="N17">
            <v>35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27</v>
          </cell>
          <cell r="U17">
            <v>5310000</v>
          </cell>
          <cell r="V17">
            <v>700000</v>
          </cell>
          <cell r="W17">
            <v>0</v>
          </cell>
          <cell r="X17">
            <v>0</v>
          </cell>
          <cell r="Y17">
            <v>300000</v>
          </cell>
          <cell r="Z17">
            <v>6310000</v>
          </cell>
          <cell r="AA17">
            <v>6310000</v>
          </cell>
          <cell r="AB17">
            <v>0</v>
          </cell>
          <cell r="AC17">
            <v>0</v>
          </cell>
          <cell r="AD17">
            <v>6310000</v>
          </cell>
          <cell r="AF17">
            <v>350000</v>
          </cell>
          <cell r="AH17" t="e">
            <v>#DIV/0!</v>
          </cell>
          <cell r="AI17">
            <v>1290625</v>
          </cell>
          <cell r="AJ17">
            <v>0</v>
          </cell>
          <cell r="AK17">
            <v>0</v>
          </cell>
          <cell r="AL17">
            <v>0</v>
          </cell>
          <cell r="AN17">
            <v>0</v>
          </cell>
          <cell r="AP17">
            <v>0</v>
          </cell>
          <cell r="AQ17" t="e">
            <v>#DIV/0!</v>
          </cell>
          <cell r="AR17" t="e">
            <v>#DIV/0!</v>
          </cell>
          <cell r="AS17">
            <v>557550</v>
          </cell>
          <cell r="AT17">
            <v>1141650</v>
          </cell>
          <cell r="AU17">
            <v>26550</v>
          </cell>
          <cell r="AV17">
            <v>106200</v>
          </cell>
          <cell r="AW17">
            <v>15500000</v>
          </cell>
          <cell r="AX17" t="e">
            <v>#DIV/0!</v>
          </cell>
          <cell r="AY17" t="e">
            <v>#DIV/0!</v>
          </cell>
          <cell r="AZ17" t="e">
            <v>#DIV/0!</v>
          </cell>
          <cell r="BC17" t="e">
            <v>#DIV/0!</v>
          </cell>
          <cell r="BE17" t="e">
            <v>#DIV/0!</v>
          </cell>
          <cell r="BF17" t="e">
            <v>#DIV/0!</v>
          </cell>
          <cell r="BG17" t="str">
            <v>CK</v>
          </cell>
          <cell r="BH17" t="str">
            <v>4280137136</v>
          </cell>
          <cell r="BI17" t="str">
            <v xml:space="preserve">Ngân hàng TMCP Đầu tư và Phát triển  Việt Nam (BIDV) </v>
          </cell>
        </row>
        <row r="18">
          <cell r="C18" t="str">
            <v>VB00280</v>
          </cell>
          <cell r="D18" t="str">
            <v>NGUYỄN ĐỨC GIANG</v>
          </cell>
          <cell r="E18" t="str">
            <v>NVBH</v>
          </cell>
          <cell r="F18" t="str">
            <v>Cao cấp</v>
          </cell>
          <cell r="G18">
            <v>44958</v>
          </cell>
          <cell r="H18">
            <v>45019</v>
          </cell>
          <cell r="I18">
            <v>3</v>
          </cell>
          <cell r="J18" t="str">
            <v>Chính thức</v>
          </cell>
          <cell r="K18">
            <v>27</v>
          </cell>
          <cell r="L18">
            <v>27</v>
          </cell>
          <cell r="M18">
            <v>0</v>
          </cell>
          <cell r="N18">
            <v>35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27</v>
          </cell>
          <cell r="U18">
            <v>5310000</v>
          </cell>
          <cell r="V18">
            <v>700000</v>
          </cell>
          <cell r="X18" t="str">
            <v>-</v>
          </cell>
          <cell r="Y18">
            <v>300000</v>
          </cell>
          <cell r="Z18">
            <v>6310000</v>
          </cell>
          <cell r="AA18">
            <v>6310000</v>
          </cell>
          <cell r="AB18">
            <v>0</v>
          </cell>
          <cell r="AC18">
            <v>0</v>
          </cell>
          <cell r="AD18">
            <v>6310000</v>
          </cell>
          <cell r="AF18">
            <v>350000</v>
          </cell>
          <cell r="AH18" t="e">
            <v>#DIV/0!</v>
          </cell>
          <cell r="AI18">
            <v>1290625</v>
          </cell>
          <cell r="AJ18">
            <v>0</v>
          </cell>
          <cell r="AK18">
            <v>0</v>
          </cell>
          <cell r="AL18">
            <v>0</v>
          </cell>
          <cell r="AN18">
            <v>0</v>
          </cell>
          <cell r="AP18">
            <v>0</v>
          </cell>
          <cell r="AQ18" t="e">
            <v>#DIV/0!</v>
          </cell>
          <cell r="AR18" t="e">
            <v>#DIV/0!</v>
          </cell>
          <cell r="AS18">
            <v>557550</v>
          </cell>
          <cell r="AT18">
            <v>1141650</v>
          </cell>
          <cell r="AU18">
            <v>26550</v>
          </cell>
          <cell r="AV18">
            <v>106200</v>
          </cell>
          <cell r="AW18">
            <v>15500000</v>
          </cell>
          <cell r="AX18" t="e">
            <v>#DIV/0!</v>
          </cell>
          <cell r="AY18" t="e">
            <v>#DIV/0!</v>
          </cell>
          <cell r="AZ18" t="e">
            <v>#DIV/0!</v>
          </cell>
          <cell r="BC18" t="e">
            <v>#DIV/0!</v>
          </cell>
          <cell r="BE18" t="e">
            <v>#DIV/0!</v>
          </cell>
          <cell r="BF18" t="e">
            <v>#DIV/0!</v>
          </cell>
          <cell r="BG18" t="str">
            <v>CK</v>
          </cell>
          <cell r="BH18">
            <v>4280772111</v>
          </cell>
          <cell r="BI18" t="str">
            <v xml:space="preserve">Ngân hàng TMCP Đầu tư và Phát triển  Việt Nam (BIDV) </v>
          </cell>
          <cell r="BJ18">
            <v>46228</v>
          </cell>
        </row>
        <row r="19">
          <cell r="C19" t="str">
            <v>VB00429</v>
          </cell>
          <cell r="D19" t="str">
            <v>NGHIÊM THỊ THU HIỀN</v>
          </cell>
          <cell r="E19" t="str">
            <v>NVBH</v>
          </cell>
          <cell r="F19" t="str">
            <v>Trung cấp</v>
          </cell>
          <cell r="G19">
            <v>45488</v>
          </cell>
          <cell r="H19">
            <v>45519</v>
          </cell>
          <cell r="I19">
            <v>2</v>
          </cell>
          <cell r="J19" t="str">
            <v>Chính thức</v>
          </cell>
          <cell r="K19">
            <v>27</v>
          </cell>
          <cell r="L19">
            <v>27</v>
          </cell>
          <cell r="M19">
            <v>0</v>
          </cell>
          <cell r="N19">
            <v>45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27</v>
          </cell>
          <cell r="U19">
            <v>5310000</v>
          </cell>
          <cell r="V19">
            <v>700000</v>
          </cell>
          <cell r="W19">
            <v>200000</v>
          </cell>
          <cell r="X19">
            <v>0</v>
          </cell>
          <cell r="Y19">
            <v>0</v>
          </cell>
          <cell r="Z19">
            <v>6210000</v>
          </cell>
          <cell r="AA19">
            <v>6210000</v>
          </cell>
          <cell r="AB19">
            <v>0</v>
          </cell>
          <cell r="AC19">
            <v>0</v>
          </cell>
          <cell r="AD19">
            <v>6210000</v>
          </cell>
          <cell r="AF19">
            <v>350000</v>
          </cell>
          <cell r="AH19" t="e">
            <v>#DIV/0!</v>
          </cell>
          <cell r="AI19">
            <v>1659375</v>
          </cell>
          <cell r="AJ19">
            <v>0</v>
          </cell>
          <cell r="AK19">
            <v>0</v>
          </cell>
          <cell r="AL19">
            <v>0</v>
          </cell>
          <cell r="AN19">
            <v>0</v>
          </cell>
          <cell r="AP19">
            <v>0</v>
          </cell>
          <cell r="AQ19" t="e">
            <v>#DIV/0!</v>
          </cell>
          <cell r="AR19" t="e">
            <v>#DIV/0!</v>
          </cell>
          <cell r="AS19">
            <v>557550</v>
          </cell>
          <cell r="AT19">
            <v>1141650</v>
          </cell>
          <cell r="AU19">
            <v>26550</v>
          </cell>
          <cell r="AV19">
            <v>106200</v>
          </cell>
          <cell r="AW19">
            <v>15500000</v>
          </cell>
          <cell r="AX19" t="e">
            <v>#DIV/0!</v>
          </cell>
          <cell r="AY19" t="e">
            <v>#DIV/0!</v>
          </cell>
          <cell r="AZ19" t="e">
            <v>#DIV/0!</v>
          </cell>
          <cell r="BC19" t="e">
            <v>#DIV/0!</v>
          </cell>
          <cell r="BE19" t="e">
            <v>#DIV/0!</v>
          </cell>
          <cell r="BF19" t="e">
            <v>#DIV/0!</v>
          </cell>
          <cell r="BG19" t="str">
            <v>CK</v>
          </cell>
          <cell r="BH19">
            <v>8833233154</v>
          </cell>
          <cell r="BI19" t="str">
            <v>BIDV - CN Hùng Vương</v>
          </cell>
        </row>
        <row r="20">
          <cell r="C20" t="str">
            <v>VB00720</v>
          </cell>
          <cell r="D20" t="str">
            <v>VŨ HOÀNG ANH</v>
          </cell>
          <cell r="E20" t="str">
            <v>NVBH</v>
          </cell>
          <cell r="F20" t="str">
            <v>Sơ cấp</v>
          </cell>
          <cell r="G20">
            <v>46231</v>
          </cell>
          <cell r="H20">
            <v>45520</v>
          </cell>
          <cell r="I20">
            <v>0</v>
          </cell>
          <cell r="J20" t="str">
            <v>Thử việc</v>
          </cell>
          <cell r="K20">
            <v>27</v>
          </cell>
          <cell r="L20" t="e">
            <v>#N/A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#N/A</v>
          </cell>
          <cell r="S20">
            <v>0</v>
          </cell>
          <cell r="T20" t="e">
            <v>#N/A</v>
          </cell>
          <cell r="U20">
            <v>5310000</v>
          </cell>
          <cell r="V20">
            <v>700000</v>
          </cell>
          <cell r="W20">
            <v>100000</v>
          </cell>
          <cell r="X20">
            <v>0</v>
          </cell>
          <cell r="Y20">
            <v>0</v>
          </cell>
          <cell r="Z20">
            <v>6110000</v>
          </cell>
          <cell r="AA20" t="e">
            <v>#N/A</v>
          </cell>
          <cell r="AB20">
            <v>0</v>
          </cell>
          <cell r="AD20" t="e">
            <v>#N/A</v>
          </cell>
          <cell r="AF20">
            <v>38888.888888888891</v>
          </cell>
          <cell r="AH20" t="e">
            <v>#N/A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  <cell r="AU20" t="e">
            <v>#N/A</v>
          </cell>
          <cell r="AV20" t="e">
            <v>#N/A</v>
          </cell>
          <cell r="AW20">
            <v>15500000</v>
          </cell>
          <cell r="AX20" t="e">
            <v>#N/A</v>
          </cell>
          <cell r="AY20" t="e">
            <v>#N/A</v>
          </cell>
          <cell r="AZ20" t="e">
            <v>#N/A</v>
          </cell>
          <cell r="BC20" t="e">
            <v>#N/A</v>
          </cell>
          <cell r="BE20" t="e">
            <v>#N/A</v>
          </cell>
          <cell r="BF20" t="e">
            <v>#N/A</v>
          </cell>
        </row>
        <row r="21">
          <cell r="K21">
            <v>135</v>
          </cell>
          <cell r="L21" t="e">
            <v>#N/A</v>
          </cell>
          <cell r="M21">
            <v>0</v>
          </cell>
          <cell r="N21">
            <v>150</v>
          </cell>
          <cell r="O21">
            <v>0</v>
          </cell>
          <cell r="P21">
            <v>0</v>
          </cell>
          <cell r="Q21">
            <v>0</v>
          </cell>
          <cell r="R21" t="e">
            <v>#N/A</v>
          </cell>
          <cell r="S21">
            <v>0</v>
          </cell>
          <cell r="T21" t="e">
            <v>#N/A</v>
          </cell>
          <cell r="U21">
            <v>27100000</v>
          </cell>
          <cell r="V21">
            <v>3500000</v>
          </cell>
          <cell r="W21">
            <v>1300000</v>
          </cell>
          <cell r="X21">
            <v>300000</v>
          </cell>
          <cell r="Y21">
            <v>1000000</v>
          </cell>
          <cell r="Z21">
            <v>33200000</v>
          </cell>
          <cell r="AA21" t="e">
            <v>#N/A</v>
          </cell>
          <cell r="AB21">
            <v>0</v>
          </cell>
          <cell r="AC21">
            <v>0</v>
          </cell>
          <cell r="AD21" t="e">
            <v>#N/A</v>
          </cell>
          <cell r="AE21">
            <v>0</v>
          </cell>
          <cell r="AF21">
            <v>1438888.888888889</v>
          </cell>
          <cell r="AG21">
            <v>0</v>
          </cell>
          <cell r="AH21" t="e">
            <v>#DIV/0!</v>
          </cell>
          <cell r="AI21">
            <v>5664930.555555556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P21">
            <v>0</v>
          </cell>
          <cell r="AQ21" t="e">
            <v>#DIV/0!</v>
          </cell>
          <cell r="AR21" t="e">
            <v>#DIV/0!</v>
          </cell>
          <cell r="AS21" t="e">
            <v>#N/A</v>
          </cell>
          <cell r="AT21" t="e">
            <v>#N/A</v>
          </cell>
          <cell r="AU21" t="e">
            <v>#N/A</v>
          </cell>
          <cell r="AV21" t="e">
            <v>#N/A</v>
          </cell>
          <cell r="AW21">
            <v>77500000</v>
          </cell>
          <cell r="AX21" t="e">
            <v>#DIV/0!</v>
          </cell>
          <cell r="AY21" t="e">
            <v>#DIV/0!</v>
          </cell>
          <cell r="AZ21" t="e">
            <v>#DIV/0!</v>
          </cell>
          <cell r="BA21">
            <v>0</v>
          </cell>
          <cell r="BB21">
            <v>0</v>
          </cell>
          <cell r="BC21" t="e">
            <v>#DIV/0!</v>
          </cell>
          <cell r="BD21">
            <v>0</v>
          </cell>
          <cell r="BE21" t="e">
            <v>#DIV/0!</v>
          </cell>
          <cell r="BF21" t="e">
            <v>#DIV/0!</v>
          </cell>
        </row>
        <row r="22">
          <cell r="C22" t="str">
            <v>VB00032</v>
          </cell>
          <cell r="D22" t="str">
            <v>NGUYỄN HOÀI PHƯƠNG</v>
          </cell>
          <cell r="E22" t="str">
            <v>TL CHT</v>
          </cell>
          <cell r="F22" t="str">
            <v>Cao cấp</v>
          </cell>
          <cell r="G22">
            <v>44067</v>
          </cell>
          <cell r="H22">
            <v>44126</v>
          </cell>
          <cell r="I22">
            <v>5</v>
          </cell>
          <cell r="J22" t="str">
            <v>Chính thức</v>
          </cell>
          <cell r="K22">
            <v>27</v>
          </cell>
          <cell r="L22">
            <v>26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26</v>
          </cell>
          <cell r="U22">
            <v>5310000</v>
          </cell>
          <cell r="V22">
            <v>700000</v>
          </cell>
          <cell r="W22">
            <v>600000</v>
          </cell>
          <cell r="X22">
            <v>0</v>
          </cell>
          <cell r="Y22">
            <v>400000</v>
          </cell>
          <cell r="Z22">
            <v>7010000</v>
          </cell>
          <cell r="AA22">
            <v>6750370.3703703703</v>
          </cell>
          <cell r="AB22">
            <v>0</v>
          </cell>
          <cell r="AC22">
            <v>0</v>
          </cell>
          <cell r="AD22">
            <v>6750370.3703703703</v>
          </cell>
          <cell r="AF22">
            <v>350000</v>
          </cell>
          <cell r="AH22">
            <v>197404.72340425529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P22">
            <v>0</v>
          </cell>
          <cell r="AQ22">
            <v>7297775</v>
          </cell>
          <cell r="AR22">
            <v>7297775</v>
          </cell>
          <cell r="AS22">
            <v>557550</v>
          </cell>
          <cell r="AT22">
            <v>1141650</v>
          </cell>
          <cell r="AU22">
            <v>26550</v>
          </cell>
          <cell r="AV22">
            <v>106200</v>
          </cell>
          <cell r="AW22">
            <v>15500000</v>
          </cell>
          <cell r="AX22">
            <v>5597775</v>
          </cell>
          <cell r="AY22">
            <v>0</v>
          </cell>
          <cell r="AZ22">
            <v>0</v>
          </cell>
          <cell r="BC22">
            <v>584100</v>
          </cell>
          <cell r="BE22">
            <v>6713675</v>
          </cell>
          <cell r="BF22">
            <v>6713675</v>
          </cell>
          <cell r="BG22" t="str">
            <v>CK</v>
          </cell>
          <cell r="BH22">
            <v>4411173802</v>
          </cell>
          <cell r="BI22" t="str">
            <v>Ngân hàng TMCP Đầu tư và Phát triển  Việt Nam (BIDV) - CN Quảng Ninh</v>
          </cell>
        </row>
        <row r="23">
          <cell r="C23" t="str">
            <v>VB00021</v>
          </cell>
          <cell r="D23" t="str">
            <v>LÊ THỊ LIÊN</v>
          </cell>
          <cell r="E23" t="str">
            <v>NVBH</v>
          </cell>
          <cell r="F23" t="str">
            <v>Cao cấp</v>
          </cell>
          <cell r="G23">
            <v>43958</v>
          </cell>
          <cell r="H23">
            <v>44017</v>
          </cell>
          <cell r="I23">
            <v>6</v>
          </cell>
          <cell r="J23" t="str">
            <v>Chính thức</v>
          </cell>
          <cell r="K23">
            <v>27</v>
          </cell>
          <cell r="L23">
            <v>26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26</v>
          </cell>
          <cell r="U23">
            <v>5310000</v>
          </cell>
          <cell r="V23">
            <v>700000</v>
          </cell>
          <cell r="W23">
            <v>0</v>
          </cell>
          <cell r="X23">
            <v>0</v>
          </cell>
          <cell r="Y23">
            <v>300000</v>
          </cell>
          <cell r="Z23">
            <v>6310000</v>
          </cell>
          <cell r="AA23">
            <v>6076296.2962962966</v>
          </cell>
          <cell r="AB23">
            <v>0</v>
          </cell>
          <cell r="AC23">
            <v>0</v>
          </cell>
          <cell r="AD23">
            <v>6076296.2962962966</v>
          </cell>
          <cell r="AF23">
            <v>350000</v>
          </cell>
          <cell r="AH23">
            <v>138516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N23">
            <v>0</v>
          </cell>
          <cell r="AP23">
            <v>0</v>
          </cell>
          <cell r="AQ23">
            <v>6564812</v>
          </cell>
          <cell r="AR23">
            <v>6564812</v>
          </cell>
          <cell r="AS23">
            <v>557550</v>
          </cell>
          <cell r="AT23">
            <v>1141650</v>
          </cell>
          <cell r="AU23">
            <v>26550</v>
          </cell>
          <cell r="AV23">
            <v>106200</v>
          </cell>
          <cell r="AW23">
            <v>15500000</v>
          </cell>
          <cell r="AX23">
            <v>5564812</v>
          </cell>
          <cell r="AY23">
            <v>0</v>
          </cell>
          <cell r="AZ23">
            <v>0</v>
          </cell>
          <cell r="BC23">
            <v>584100</v>
          </cell>
          <cell r="BE23">
            <v>5980712</v>
          </cell>
          <cell r="BF23">
            <v>5980712</v>
          </cell>
          <cell r="BG23" t="str">
            <v>CK</v>
          </cell>
          <cell r="BH23" t="str">
            <v>4480368507</v>
          </cell>
          <cell r="BI23" t="str">
            <v>Ngân hàng TMCP Đầu tư và Phát triển  Việt Nam (BIDV) - CN Lạch Tray Hải Phòng</v>
          </cell>
        </row>
        <row r="24">
          <cell r="C24" t="str">
            <v>VB00173</v>
          </cell>
          <cell r="D24" t="str">
            <v>NGUYỄN THỊ NGỌC ANH</v>
          </cell>
          <cell r="E24" t="str">
            <v>NVBH</v>
          </cell>
          <cell r="F24" t="str">
            <v>Trung cấp</v>
          </cell>
          <cell r="G24">
            <v>44634</v>
          </cell>
          <cell r="H24">
            <v>44694</v>
          </cell>
          <cell r="I24">
            <v>4</v>
          </cell>
          <cell r="J24" t="str">
            <v>Chính thức</v>
          </cell>
          <cell r="K24">
            <v>27</v>
          </cell>
          <cell r="L24">
            <v>26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26</v>
          </cell>
          <cell r="U24">
            <v>5310000</v>
          </cell>
          <cell r="V24">
            <v>700000</v>
          </cell>
          <cell r="W24">
            <v>200000</v>
          </cell>
          <cell r="X24">
            <v>0</v>
          </cell>
          <cell r="Y24">
            <v>0</v>
          </cell>
          <cell r="Z24">
            <v>6210000</v>
          </cell>
          <cell r="AA24">
            <v>5980000</v>
          </cell>
          <cell r="AB24">
            <v>0</v>
          </cell>
          <cell r="AC24">
            <v>0</v>
          </cell>
          <cell r="AD24">
            <v>5980000</v>
          </cell>
          <cell r="AF24">
            <v>350000</v>
          </cell>
          <cell r="AH24">
            <v>200115.31914893619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P24">
            <v>0</v>
          </cell>
          <cell r="AQ24">
            <v>6530115</v>
          </cell>
          <cell r="AR24">
            <v>6530115</v>
          </cell>
          <cell r="AS24">
            <v>557550</v>
          </cell>
          <cell r="AT24">
            <v>1141650</v>
          </cell>
          <cell r="AU24">
            <v>26550</v>
          </cell>
          <cell r="AV24">
            <v>106200</v>
          </cell>
          <cell r="AW24">
            <v>15500000</v>
          </cell>
          <cell r="AX24">
            <v>5630115</v>
          </cell>
          <cell r="AY24">
            <v>0</v>
          </cell>
          <cell r="AZ24">
            <v>563011.5</v>
          </cell>
          <cell r="BC24">
            <v>1147111.5</v>
          </cell>
          <cell r="BE24">
            <v>5383004</v>
          </cell>
          <cell r="BF24">
            <v>5383004</v>
          </cell>
          <cell r="BG24" t="str">
            <v>CK</v>
          </cell>
          <cell r="BH24" t="str">
            <v>4400993499</v>
          </cell>
          <cell r="BI24" t="str">
            <v>Ngân hàng TMCP Đầu tư và Phát triển  Việt Nam (BIDV)</v>
          </cell>
          <cell r="BJ24">
            <v>46220</v>
          </cell>
        </row>
        <row r="25">
          <cell r="C25" t="str">
            <v>VB00060</v>
          </cell>
          <cell r="D25" t="str">
            <v>NGÔ THỊ OANH</v>
          </cell>
          <cell r="E25" t="str">
            <v>NVBH</v>
          </cell>
          <cell r="F25" t="str">
            <v>Cao cấp</v>
          </cell>
          <cell r="G25">
            <v>44252</v>
          </cell>
          <cell r="H25">
            <v>44313</v>
          </cell>
          <cell r="I25">
            <v>5</v>
          </cell>
          <cell r="J25" t="str">
            <v>Chính thức</v>
          </cell>
          <cell r="K25">
            <v>27</v>
          </cell>
          <cell r="L25">
            <v>26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26</v>
          </cell>
          <cell r="U25">
            <v>5310000</v>
          </cell>
          <cell r="V25">
            <v>700000</v>
          </cell>
          <cell r="W25">
            <v>0</v>
          </cell>
          <cell r="X25">
            <v>0</v>
          </cell>
          <cell r="Y25">
            <v>300000</v>
          </cell>
          <cell r="Z25">
            <v>6310000</v>
          </cell>
          <cell r="AA25">
            <v>6076296.2962962966</v>
          </cell>
          <cell r="AB25">
            <v>0</v>
          </cell>
          <cell r="AC25">
            <v>0</v>
          </cell>
          <cell r="AD25">
            <v>6076296.2962962966</v>
          </cell>
          <cell r="AF25">
            <v>350000</v>
          </cell>
          <cell r="AH25">
            <v>177657.95744680852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P25">
            <v>0</v>
          </cell>
          <cell r="AQ25">
            <v>6603954</v>
          </cell>
          <cell r="AR25">
            <v>6603954</v>
          </cell>
          <cell r="AS25">
            <v>557550</v>
          </cell>
          <cell r="AT25">
            <v>1141650</v>
          </cell>
          <cell r="AU25">
            <v>26550</v>
          </cell>
          <cell r="AV25">
            <v>106200</v>
          </cell>
          <cell r="AW25">
            <v>15500000</v>
          </cell>
          <cell r="AX25">
            <v>5603954</v>
          </cell>
          <cell r="AY25">
            <v>0</v>
          </cell>
          <cell r="AZ25">
            <v>0</v>
          </cell>
          <cell r="BC25">
            <v>584100</v>
          </cell>
          <cell r="BE25">
            <v>6019854</v>
          </cell>
          <cell r="BF25">
            <v>6019854</v>
          </cell>
          <cell r="BG25" t="str">
            <v>CK</v>
          </cell>
          <cell r="BH25">
            <v>4400784985</v>
          </cell>
          <cell r="BI25" t="str">
            <v>Ngân hàng TMCP Đầu tư và Phát triển  Việt Nam (BIDV)</v>
          </cell>
        </row>
        <row r="26">
          <cell r="K26">
            <v>108</v>
          </cell>
          <cell r="L26">
            <v>104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104</v>
          </cell>
          <cell r="U26">
            <v>21240000</v>
          </cell>
          <cell r="V26">
            <v>2800000</v>
          </cell>
          <cell r="W26">
            <v>800000</v>
          </cell>
          <cell r="X26">
            <v>0</v>
          </cell>
          <cell r="Y26">
            <v>1000000</v>
          </cell>
          <cell r="Z26">
            <v>25840000</v>
          </cell>
          <cell r="AA26">
            <v>24882962.962962963</v>
          </cell>
          <cell r="AB26">
            <v>0</v>
          </cell>
          <cell r="AC26">
            <v>0</v>
          </cell>
          <cell r="AD26">
            <v>24882962.962962963</v>
          </cell>
          <cell r="AE26">
            <v>0</v>
          </cell>
          <cell r="AF26">
            <v>1400000</v>
          </cell>
          <cell r="AG26">
            <v>0</v>
          </cell>
          <cell r="AH26">
            <v>713694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26996656</v>
          </cell>
          <cell r="AR26">
            <v>26996656</v>
          </cell>
          <cell r="AS26">
            <v>2230200</v>
          </cell>
          <cell r="AT26">
            <v>4566600</v>
          </cell>
          <cell r="AU26">
            <v>106200</v>
          </cell>
          <cell r="AV26">
            <v>424800</v>
          </cell>
          <cell r="AW26">
            <v>62000000</v>
          </cell>
          <cell r="AX26">
            <v>22396656</v>
          </cell>
          <cell r="AY26">
            <v>0</v>
          </cell>
          <cell r="AZ26">
            <v>563011.5</v>
          </cell>
          <cell r="BA26">
            <v>0</v>
          </cell>
          <cell r="BB26">
            <v>0</v>
          </cell>
          <cell r="BC26">
            <v>2899411.5</v>
          </cell>
          <cell r="BD26">
            <v>0</v>
          </cell>
          <cell r="BE26">
            <v>24097245</v>
          </cell>
          <cell r="BF26">
            <v>24097245</v>
          </cell>
        </row>
        <row r="27">
          <cell r="C27" t="str">
            <v>VB00192</v>
          </cell>
          <cell r="D27" t="str">
            <v>PHAN THỊ THÙY LINH</v>
          </cell>
          <cell r="E27" t="str">
            <v>CHT</v>
          </cell>
          <cell r="F27" t="str">
            <v>Trung cấp</v>
          </cell>
          <cell r="G27">
            <v>44702</v>
          </cell>
          <cell r="H27">
            <v>44762</v>
          </cell>
          <cell r="I27">
            <v>4</v>
          </cell>
          <cell r="J27" t="str">
            <v>Chính thức</v>
          </cell>
          <cell r="K27">
            <v>27</v>
          </cell>
          <cell r="L27">
            <v>20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20</v>
          </cell>
          <cell r="U27">
            <v>5860000</v>
          </cell>
          <cell r="V27">
            <v>700000</v>
          </cell>
          <cell r="W27">
            <v>1500000</v>
          </cell>
          <cell r="X27">
            <v>1100000</v>
          </cell>
          <cell r="Y27">
            <v>400000</v>
          </cell>
          <cell r="Z27">
            <v>9560000</v>
          </cell>
          <cell r="AA27">
            <v>7081481.4814814823</v>
          </cell>
          <cell r="AB27">
            <v>0</v>
          </cell>
          <cell r="AC27">
            <v>0</v>
          </cell>
          <cell r="AD27">
            <v>7081481.4814814823</v>
          </cell>
          <cell r="AF27">
            <v>0</v>
          </cell>
          <cell r="AH27">
            <v>2096398.3018867928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N27">
            <v>0</v>
          </cell>
          <cell r="AP27">
            <v>0</v>
          </cell>
          <cell r="AQ27">
            <v>9177880</v>
          </cell>
          <cell r="AR27">
            <v>9177880</v>
          </cell>
          <cell r="AS27">
            <v>615300</v>
          </cell>
          <cell r="AT27">
            <v>1259900</v>
          </cell>
          <cell r="AU27">
            <v>29300</v>
          </cell>
          <cell r="AV27">
            <v>117200</v>
          </cell>
          <cell r="AW27">
            <v>15500000</v>
          </cell>
          <cell r="AX27">
            <v>6577880</v>
          </cell>
          <cell r="AY27">
            <v>0</v>
          </cell>
          <cell r="AZ27">
            <v>0</v>
          </cell>
          <cell r="BC27">
            <v>644600</v>
          </cell>
          <cell r="BE27">
            <v>8533280</v>
          </cell>
          <cell r="BF27">
            <v>8533280</v>
          </cell>
          <cell r="BG27" t="str">
            <v>CK</v>
          </cell>
          <cell r="BH27" t="str">
            <v>2601544409</v>
          </cell>
          <cell r="BI27" t="str">
            <v>BIDV - CN Mỹ Đình</v>
          </cell>
          <cell r="BK27" t="str">
            <v>TL CHT từ 01/01/2025 - 30/06/2025</v>
          </cell>
        </row>
        <row r="28">
          <cell r="C28" t="str">
            <v>VB00369</v>
          </cell>
          <cell r="D28" t="str">
            <v>TRẦN THỊ YẾN</v>
          </cell>
          <cell r="E28" t="str">
            <v>NVBH</v>
          </cell>
          <cell r="F28" t="str">
            <v>Cao cấp</v>
          </cell>
          <cell r="G28">
            <v>45282</v>
          </cell>
          <cell r="H28">
            <v>45343</v>
          </cell>
          <cell r="I28">
            <v>2</v>
          </cell>
          <cell r="J28" t="str">
            <v>Chính thức</v>
          </cell>
          <cell r="K28">
            <v>27</v>
          </cell>
          <cell r="L28">
            <v>26</v>
          </cell>
          <cell r="M28">
            <v>0</v>
          </cell>
          <cell r="N28">
            <v>10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26</v>
          </cell>
          <cell r="U28">
            <v>5310000</v>
          </cell>
          <cell r="V28">
            <v>700000</v>
          </cell>
          <cell r="W28">
            <v>1000000</v>
          </cell>
          <cell r="X28">
            <v>750000</v>
          </cell>
          <cell r="Y28">
            <v>400000</v>
          </cell>
          <cell r="Z28">
            <v>8160000</v>
          </cell>
          <cell r="AA28">
            <v>7857777.777777778</v>
          </cell>
          <cell r="AB28">
            <v>0</v>
          </cell>
          <cell r="AC28">
            <v>0</v>
          </cell>
          <cell r="AD28">
            <v>7857777.777777778</v>
          </cell>
          <cell r="AF28">
            <v>350000</v>
          </cell>
          <cell r="AH28">
            <v>1559838.3047895499</v>
          </cell>
          <cell r="AI28">
            <v>368750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P28">
            <v>0</v>
          </cell>
          <cell r="AQ28">
            <v>10136366</v>
          </cell>
          <cell r="AR28">
            <v>10136366</v>
          </cell>
          <cell r="AS28">
            <v>557550</v>
          </cell>
          <cell r="AT28">
            <v>1141650</v>
          </cell>
          <cell r="AU28">
            <v>26550</v>
          </cell>
          <cell r="AV28">
            <v>106200</v>
          </cell>
          <cell r="AW28">
            <v>15500000</v>
          </cell>
          <cell r="AX28">
            <v>7667616</v>
          </cell>
          <cell r="AY28">
            <v>0</v>
          </cell>
          <cell r="AZ28">
            <v>0</v>
          </cell>
          <cell r="BC28">
            <v>584100</v>
          </cell>
          <cell r="BE28">
            <v>9552266</v>
          </cell>
          <cell r="BF28">
            <v>9552266</v>
          </cell>
          <cell r="BG28" t="str">
            <v>CK</v>
          </cell>
          <cell r="BH28">
            <v>8861261065</v>
          </cell>
          <cell r="BI28" t="str">
            <v>Ngân hàng TMCP Đầu tư và Phát triển  Việt Nam (BIDV) - CN Đông Đô</v>
          </cell>
        </row>
        <row r="29">
          <cell r="C29" t="str">
            <v>VB00690</v>
          </cell>
          <cell r="D29" t="str">
            <v>ĐÈO THỊ MAI ANH</v>
          </cell>
          <cell r="E29" t="str">
            <v>NVBH</v>
          </cell>
          <cell r="F29" t="str">
            <v>Sơ cấp</v>
          </cell>
          <cell r="G29">
            <v>46143</v>
          </cell>
          <cell r="H29">
            <v>46204</v>
          </cell>
          <cell r="I29">
            <v>0</v>
          </cell>
          <cell r="J29" t="str">
            <v>Chính thức</v>
          </cell>
          <cell r="K29">
            <v>27</v>
          </cell>
          <cell r="L29">
            <v>0</v>
          </cell>
          <cell r="M29">
            <v>26</v>
          </cell>
          <cell r="N29">
            <v>20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26</v>
          </cell>
          <cell r="U29">
            <v>5310000</v>
          </cell>
          <cell r="V29">
            <v>700000</v>
          </cell>
          <cell r="W29">
            <v>350000</v>
          </cell>
          <cell r="X29">
            <v>500000</v>
          </cell>
          <cell r="Z29">
            <v>6860000</v>
          </cell>
          <cell r="AA29">
            <v>0</v>
          </cell>
          <cell r="AB29">
            <v>5615037.0370370364</v>
          </cell>
          <cell r="AC29">
            <v>0</v>
          </cell>
          <cell r="AD29">
            <v>5615037.0370370364</v>
          </cell>
          <cell r="AF29">
            <v>350000</v>
          </cell>
          <cell r="AH29">
            <v>1804156.236574746</v>
          </cell>
          <cell r="AI29">
            <v>737500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P29">
            <v>0</v>
          </cell>
          <cell r="AQ29">
            <v>8506693</v>
          </cell>
          <cell r="AR29">
            <v>8506693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15500000</v>
          </cell>
          <cell r="AX29">
            <v>6719193</v>
          </cell>
          <cell r="AY29">
            <v>0</v>
          </cell>
          <cell r="AZ29">
            <v>0</v>
          </cell>
          <cell r="BB29">
            <v>600000</v>
          </cell>
          <cell r="BC29">
            <v>600000</v>
          </cell>
          <cell r="BE29">
            <v>7906693</v>
          </cell>
          <cell r="BF29">
            <v>7906693</v>
          </cell>
          <cell r="BG29" t="str">
            <v>CK</v>
          </cell>
          <cell r="BH29">
            <v>8899003048</v>
          </cell>
          <cell r="BI29" t="str">
            <v>BIDV</v>
          </cell>
        </row>
        <row r="30">
          <cell r="C30" t="str">
            <v>VB00699</v>
          </cell>
          <cell r="D30" t="str">
            <v>NGUYỄN HUY HOÀNG</v>
          </cell>
          <cell r="E30" t="str">
            <v>NVBH</v>
          </cell>
          <cell r="F30" t="str">
            <v>Sơ cấp</v>
          </cell>
          <cell r="G30">
            <v>46172</v>
          </cell>
          <cell r="H30">
            <v>46233</v>
          </cell>
          <cell r="I30">
            <v>0</v>
          </cell>
          <cell r="J30" t="str">
            <v>Thử việc</v>
          </cell>
          <cell r="K30">
            <v>27</v>
          </cell>
          <cell r="L30">
            <v>0</v>
          </cell>
          <cell r="M30">
            <v>26</v>
          </cell>
          <cell r="N30">
            <v>20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26</v>
          </cell>
          <cell r="U30">
            <v>5310000</v>
          </cell>
          <cell r="V30">
            <v>700000</v>
          </cell>
          <cell r="W30">
            <v>350000</v>
          </cell>
          <cell r="X30">
            <v>500000</v>
          </cell>
          <cell r="Z30">
            <v>6860000</v>
          </cell>
          <cell r="AA30">
            <v>0</v>
          </cell>
          <cell r="AB30">
            <v>5615037.0370370364</v>
          </cell>
          <cell r="AD30">
            <v>5615037.0370370364</v>
          </cell>
          <cell r="AF30">
            <v>350000</v>
          </cell>
          <cell r="AH30">
            <v>1711918.1103047892</v>
          </cell>
          <cell r="AI30">
            <v>737500</v>
          </cell>
          <cell r="AJ30">
            <v>0</v>
          </cell>
          <cell r="AK30">
            <v>0</v>
          </cell>
          <cell r="AL30">
            <v>0</v>
          </cell>
          <cell r="AN30">
            <v>0</v>
          </cell>
          <cell r="AP30">
            <v>0</v>
          </cell>
          <cell r="AQ30">
            <v>8414455</v>
          </cell>
          <cell r="AR30">
            <v>8414455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15500000</v>
          </cell>
          <cell r="AX30">
            <v>8414455</v>
          </cell>
          <cell r="AY30">
            <v>7600587.8099231292</v>
          </cell>
          <cell r="AZ30">
            <v>760058.78099231294</v>
          </cell>
          <cell r="BB30">
            <v>700000</v>
          </cell>
          <cell r="BC30">
            <v>1460058.7809923128</v>
          </cell>
          <cell r="BE30">
            <v>6954396</v>
          </cell>
          <cell r="BF30">
            <v>6954396</v>
          </cell>
          <cell r="BG30" t="str">
            <v>CK</v>
          </cell>
          <cell r="BH30">
            <v>8849084242</v>
          </cell>
          <cell r="BI30" t="str">
            <v>BIDV</v>
          </cell>
        </row>
        <row r="31">
          <cell r="C31" t="str">
            <v>VB00704</v>
          </cell>
          <cell r="D31" t="str">
            <v>NGUYỄN THỊ ÁNH NGUYỆT</v>
          </cell>
          <cell r="E31" t="str">
            <v>NVBH</v>
          </cell>
          <cell r="F31" t="str">
            <v>Sơ cấp</v>
          </cell>
          <cell r="G31">
            <v>46175</v>
          </cell>
          <cell r="H31">
            <v>46236</v>
          </cell>
          <cell r="I31">
            <v>0</v>
          </cell>
          <cell r="J31" t="str">
            <v>Thử việc</v>
          </cell>
          <cell r="K31">
            <v>27</v>
          </cell>
          <cell r="L31">
            <v>0</v>
          </cell>
          <cell r="M31">
            <v>26</v>
          </cell>
          <cell r="N31">
            <v>15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26</v>
          </cell>
          <cell r="U31">
            <v>5310000</v>
          </cell>
          <cell r="V31">
            <v>700000</v>
          </cell>
          <cell r="W31">
            <v>350000</v>
          </cell>
          <cell r="X31">
            <v>500000</v>
          </cell>
          <cell r="Z31">
            <v>6860000</v>
          </cell>
          <cell r="AA31">
            <v>0</v>
          </cell>
          <cell r="AB31">
            <v>5615037.0370370364</v>
          </cell>
          <cell r="AD31">
            <v>5615037.0370370364</v>
          </cell>
          <cell r="AF31">
            <v>350000</v>
          </cell>
          <cell r="AH31">
            <v>1324268.0464441217</v>
          </cell>
          <cell r="AI31">
            <v>553125</v>
          </cell>
          <cell r="AJ31">
            <v>0</v>
          </cell>
          <cell r="AK31">
            <v>0</v>
          </cell>
          <cell r="AL31">
            <v>0</v>
          </cell>
          <cell r="AN31">
            <v>0</v>
          </cell>
          <cell r="AP31">
            <v>0</v>
          </cell>
          <cell r="AQ31">
            <v>7842430</v>
          </cell>
          <cell r="AR31">
            <v>7842430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15500000</v>
          </cell>
          <cell r="AX31">
            <v>7842430</v>
          </cell>
          <cell r="AY31">
            <v>7842430</v>
          </cell>
          <cell r="AZ31">
            <v>784243</v>
          </cell>
          <cell r="BB31">
            <v>700000</v>
          </cell>
          <cell r="BC31">
            <v>1484243</v>
          </cell>
          <cell r="BE31">
            <v>6358187</v>
          </cell>
          <cell r="BF31">
            <v>6358187</v>
          </cell>
          <cell r="BG31" t="str">
            <v>CK</v>
          </cell>
          <cell r="BH31">
            <v>8879361609</v>
          </cell>
          <cell r="BI31" t="str">
            <v>BIDV</v>
          </cell>
        </row>
        <row r="32">
          <cell r="K32">
            <v>135</v>
          </cell>
          <cell r="L32">
            <v>46</v>
          </cell>
          <cell r="M32">
            <v>78</v>
          </cell>
          <cell r="N32">
            <v>65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124</v>
          </cell>
          <cell r="U32">
            <v>27100000</v>
          </cell>
          <cell r="V32">
            <v>3500000</v>
          </cell>
          <cell r="W32">
            <v>3550000</v>
          </cell>
          <cell r="X32">
            <v>3350000</v>
          </cell>
          <cell r="Y32">
            <v>800000</v>
          </cell>
          <cell r="Z32">
            <v>38300000</v>
          </cell>
          <cell r="AA32">
            <v>14939259.259259261</v>
          </cell>
          <cell r="AB32">
            <v>16845111.111111108</v>
          </cell>
          <cell r="AC32">
            <v>0</v>
          </cell>
          <cell r="AD32">
            <v>31784370.370370373</v>
          </cell>
          <cell r="AE32">
            <v>0</v>
          </cell>
          <cell r="AF32">
            <v>1400000</v>
          </cell>
          <cell r="AG32">
            <v>0</v>
          </cell>
          <cell r="AH32">
            <v>8496579</v>
          </cell>
          <cell r="AI32">
            <v>2396875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P32">
            <v>0</v>
          </cell>
          <cell r="AQ32">
            <v>44077824</v>
          </cell>
          <cell r="AR32">
            <v>44077824</v>
          </cell>
          <cell r="AS32">
            <v>1172850</v>
          </cell>
          <cell r="AT32">
            <v>2401550</v>
          </cell>
          <cell r="AU32">
            <v>55850</v>
          </cell>
          <cell r="AV32">
            <v>223400</v>
          </cell>
          <cell r="AW32">
            <v>77500000</v>
          </cell>
          <cell r="AX32">
            <v>37221574</v>
          </cell>
          <cell r="AY32">
            <v>15443017.809923129</v>
          </cell>
          <cell r="AZ32">
            <v>1544301.7809923128</v>
          </cell>
          <cell r="BA32">
            <v>0</v>
          </cell>
          <cell r="BB32">
            <v>2000000</v>
          </cell>
          <cell r="BC32">
            <v>4773001.7809923124</v>
          </cell>
          <cell r="BD32">
            <v>0</v>
          </cell>
          <cell r="BE32">
            <v>39304822</v>
          </cell>
          <cell r="BF32">
            <v>39304822</v>
          </cell>
        </row>
        <row r="33">
          <cell r="C33" t="str">
            <v>VB00484</v>
          </cell>
          <cell r="D33" t="str">
            <v xml:space="preserve">LẠI THU TRANG </v>
          </cell>
          <cell r="E33" t="str">
            <v>CHT</v>
          </cell>
          <cell r="F33" t="str">
            <v>Trung cấp</v>
          </cell>
          <cell r="G33">
            <v>45612</v>
          </cell>
          <cell r="H33">
            <v>45673</v>
          </cell>
          <cell r="I33">
            <v>1</v>
          </cell>
          <cell r="J33" t="str">
            <v>Chính thức</v>
          </cell>
          <cell r="K33">
            <v>27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5860000</v>
          </cell>
          <cell r="V33">
            <v>700000</v>
          </cell>
          <cell r="W33">
            <v>1000000</v>
          </cell>
          <cell r="X33">
            <v>600000</v>
          </cell>
          <cell r="Y33">
            <v>400000</v>
          </cell>
          <cell r="Z33">
            <v>8560000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N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15500000</v>
          </cell>
          <cell r="AX33">
            <v>-2100000</v>
          </cell>
          <cell r="AY33">
            <v>0</v>
          </cell>
          <cell r="AZ33">
            <v>0</v>
          </cell>
          <cell r="BC33">
            <v>0</v>
          </cell>
          <cell r="BE33">
            <v>0</v>
          </cell>
          <cell r="BF33">
            <v>0</v>
          </cell>
          <cell r="BG33" t="str">
            <v>CK</v>
          </cell>
          <cell r="BH33">
            <v>1222158365</v>
          </cell>
          <cell r="BI33" t="str">
            <v>BIDV</v>
          </cell>
        </row>
        <row r="34">
          <cell r="C34" t="str">
            <v>VB00440</v>
          </cell>
          <cell r="D34" t="str">
            <v>BÙI THỊ SỨ</v>
          </cell>
          <cell r="E34" t="str">
            <v>NVBH</v>
          </cell>
          <cell r="F34" t="str">
            <v>Trung cấp</v>
          </cell>
          <cell r="G34">
            <v>45512</v>
          </cell>
          <cell r="H34">
            <v>45573</v>
          </cell>
          <cell r="I34">
            <v>1</v>
          </cell>
          <cell r="J34" t="str">
            <v>Chính thức</v>
          </cell>
          <cell r="K34">
            <v>27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5310000</v>
          </cell>
          <cell r="V34">
            <v>700000</v>
          </cell>
          <cell r="W34">
            <v>150000</v>
          </cell>
          <cell r="X34">
            <v>400000</v>
          </cell>
          <cell r="Y34">
            <v>0</v>
          </cell>
          <cell r="Z34">
            <v>6560000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H34" t="e">
            <v>#DIV/0!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N34">
            <v>0</v>
          </cell>
          <cell r="AP34">
            <v>0</v>
          </cell>
          <cell r="AQ34" t="e">
            <v>#DIV/0!</v>
          </cell>
          <cell r="AR34" t="e">
            <v>#DIV/0!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15500000</v>
          </cell>
          <cell r="AX34" t="e">
            <v>#DIV/0!</v>
          </cell>
          <cell r="AY34" t="e">
            <v>#DIV/0!</v>
          </cell>
          <cell r="AZ34" t="e">
            <v>#DIV/0!</v>
          </cell>
          <cell r="BC34" t="e">
            <v>#DIV/0!</v>
          </cell>
          <cell r="BE34" t="e">
            <v>#DIV/0!</v>
          </cell>
          <cell r="BF34" t="e">
            <v>#DIV/0!</v>
          </cell>
          <cell r="BG34" t="str">
            <v>CK</v>
          </cell>
          <cell r="BH34">
            <v>1590416278</v>
          </cell>
          <cell r="BI34" t="str">
            <v>BIDV - CN Gia Lâm</v>
          </cell>
        </row>
        <row r="35">
          <cell r="C35" t="str">
            <v>VB00594</v>
          </cell>
          <cell r="D35" t="str">
            <v>LÊ THU TRANG</v>
          </cell>
          <cell r="E35" t="str">
            <v>NVBH</v>
          </cell>
          <cell r="F35" t="str">
            <v>Sơ cấp</v>
          </cell>
          <cell r="G35">
            <v>45857</v>
          </cell>
          <cell r="H35">
            <v>45918</v>
          </cell>
          <cell r="I35">
            <v>1</v>
          </cell>
          <cell r="J35" t="str">
            <v>Chính thức</v>
          </cell>
          <cell r="K35">
            <v>27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5310000</v>
          </cell>
          <cell r="V35">
            <v>700000</v>
          </cell>
          <cell r="W35">
            <v>170000</v>
          </cell>
          <cell r="X35">
            <v>0</v>
          </cell>
          <cell r="Y35">
            <v>0</v>
          </cell>
          <cell r="Z35">
            <v>6180000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F35">
            <v>0</v>
          </cell>
          <cell r="AH35" t="e">
            <v>#DIV/0!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N35">
            <v>0</v>
          </cell>
          <cell r="AP35">
            <v>0</v>
          </cell>
          <cell r="AQ35" t="e">
            <v>#DIV/0!</v>
          </cell>
          <cell r="AR35" t="e">
            <v>#DIV/0!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15500000</v>
          </cell>
          <cell r="AX35" t="e">
            <v>#DIV/0!</v>
          </cell>
          <cell r="AY35" t="e">
            <v>#DIV/0!</v>
          </cell>
          <cell r="AZ35" t="e">
            <v>#DIV/0!</v>
          </cell>
          <cell r="BC35" t="e">
            <v>#DIV/0!</v>
          </cell>
          <cell r="BE35" t="e">
            <v>#DIV/0!</v>
          </cell>
          <cell r="BF35" t="e">
            <v>#DIV/0!</v>
          </cell>
          <cell r="BG35" t="str">
            <v>CK</v>
          </cell>
          <cell r="BH35">
            <v>8804080866</v>
          </cell>
          <cell r="BI35" t="str">
            <v>BIDV</v>
          </cell>
        </row>
        <row r="36">
          <cell r="C36" t="str">
            <v>VB00714</v>
          </cell>
          <cell r="D36" t="str">
            <v>NGUYỄN THỊ HÒA</v>
          </cell>
          <cell r="E36" t="str">
            <v>NVBH</v>
          </cell>
          <cell r="F36" t="str">
            <v>Sơ cấp</v>
          </cell>
          <cell r="G36">
            <v>46211</v>
          </cell>
          <cell r="H36">
            <v>46272</v>
          </cell>
          <cell r="I36">
            <v>0</v>
          </cell>
          <cell r="J36" t="str">
            <v>Thử việc</v>
          </cell>
          <cell r="K36">
            <v>27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5310000</v>
          </cell>
          <cell r="V36">
            <v>700000</v>
          </cell>
          <cell r="W36">
            <v>170000</v>
          </cell>
          <cell r="X36">
            <v>0</v>
          </cell>
          <cell r="Y36">
            <v>0</v>
          </cell>
          <cell r="Z36">
            <v>6180000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H36" t="e">
            <v>#DIV/0!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N36">
            <v>0</v>
          </cell>
          <cell r="AQ36" t="e">
            <v>#DIV/0!</v>
          </cell>
          <cell r="AR36" t="e">
            <v>#DIV/0!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15500000</v>
          </cell>
          <cell r="AX36" t="e">
            <v>#DIV/0!</v>
          </cell>
          <cell r="AY36" t="e">
            <v>#DIV/0!</v>
          </cell>
          <cell r="AZ36" t="e">
            <v>#DIV/0!</v>
          </cell>
          <cell r="BB36">
            <v>700000</v>
          </cell>
          <cell r="BC36" t="e">
            <v>#DIV/0!</v>
          </cell>
          <cell r="BE36" t="e">
            <v>#DIV/0!</v>
          </cell>
          <cell r="BF36" t="e">
            <v>#DIV/0!</v>
          </cell>
          <cell r="BH36">
            <v>8859510337</v>
          </cell>
          <cell r="BI36" t="str">
            <v>BIDV</v>
          </cell>
        </row>
        <row r="37">
          <cell r="K37">
            <v>108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21790000</v>
          </cell>
          <cell r="V37">
            <v>2800000</v>
          </cell>
          <cell r="W37">
            <v>1490000</v>
          </cell>
          <cell r="X37">
            <v>1000000</v>
          </cell>
          <cell r="Y37">
            <v>400000</v>
          </cell>
          <cell r="Z37">
            <v>27480000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e">
            <v>#DIV/0!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 t="e">
            <v>#DIV/0!</v>
          </cell>
          <cell r="AR37" t="e">
            <v>#DIV/0!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62000000</v>
          </cell>
          <cell r="AX37" t="e">
            <v>#DIV/0!</v>
          </cell>
          <cell r="AY37" t="e">
            <v>#DIV/0!</v>
          </cell>
          <cell r="AZ37" t="e">
            <v>#DIV/0!</v>
          </cell>
          <cell r="BA37">
            <v>0</v>
          </cell>
          <cell r="BB37">
            <v>700000</v>
          </cell>
          <cell r="BC37" t="e">
            <v>#DIV/0!</v>
          </cell>
          <cell r="BD37">
            <v>0</v>
          </cell>
          <cell r="BE37" t="e">
            <v>#DIV/0!</v>
          </cell>
          <cell r="BF37" t="e">
            <v>#DIV/0!</v>
          </cell>
        </row>
        <row r="38">
          <cell r="C38" t="str">
            <v>VB00007</v>
          </cell>
          <cell r="D38" t="str">
            <v>DƯƠNG VĂN LẬP</v>
          </cell>
          <cell r="E38" t="str">
            <v>CHT</v>
          </cell>
          <cell r="F38" t="str">
            <v>Cao cấp</v>
          </cell>
          <cell r="G38">
            <v>43684</v>
          </cell>
          <cell r="H38">
            <v>43743</v>
          </cell>
          <cell r="I38">
            <v>6</v>
          </cell>
          <cell r="J38" t="str">
            <v>Chính thức</v>
          </cell>
          <cell r="K38">
            <v>27</v>
          </cell>
          <cell r="L38">
            <v>26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26</v>
          </cell>
          <cell r="U38">
            <v>5860000</v>
          </cell>
          <cell r="V38">
            <v>700000</v>
          </cell>
          <cell r="W38">
            <v>1500000</v>
          </cell>
          <cell r="X38">
            <v>800000</v>
          </cell>
          <cell r="Y38">
            <v>400000</v>
          </cell>
          <cell r="Z38">
            <v>9260000</v>
          </cell>
          <cell r="AA38">
            <v>8917037.0370370373</v>
          </cell>
          <cell r="AB38">
            <v>0</v>
          </cell>
          <cell r="AC38">
            <v>0</v>
          </cell>
          <cell r="AD38">
            <v>8917037.0370370373</v>
          </cell>
          <cell r="AF38">
            <v>350000</v>
          </cell>
          <cell r="AH38">
            <v>2437404.4943820224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N38">
            <v>0</v>
          </cell>
          <cell r="AP38">
            <v>0</v>
          </cell>
          <cell r="AQ38">
            <v>11704442</v>
          </cell>
          <cell r="AR38">
            <v>11704442</v>
          </cell>
          <cell r="AS38">
            <v>615300</v>
          </cell>
          <cell r="AT38">
            <v>1259900</v>
          </cell>
          <cell r="AU38">
            <v>29300</v>
          </cell>
          <cell r="AV38">
            <v>117200</v>
          </cell>
          <cell r="AW38">
            <v>21700000</v>
          </cell>
          <cell r="AX38">
            <v>9104442</v>
          </cell>
          <cell r="AY38">
            <v>0</v>
          </cell>
          <cell r="AZ38">
            <v>0</v>
          </cell>
          <cell r="BC38">
            <v>644600</v>
          </cell>
          <cell r="BE38">
            <v>11059842</v>
          </cell>
          <cell r="BF38">
            <v>11059842</v>
          </cell>
          <cell r="BG38" t="str">
            <v>CK</v>
          </cell>
          <cell r="BH38" t="str">
            <v>2223803481</v>
          </cell>
          <cell r="BI38" t="str">
            <v>Ngân hàng TMCP Đầu tư và Phát triển  Việt Nam (BIDV)</v>
          </cell>
          <cell r="BK38" t="str">
            <v>duongvanlap@xtep.com.cn</v>
          </cell>
        </row>
        <row r="39">
          <cell r="C39" t="str">
            <v>VB00330</v>
          </cell>
          <cell r="D39" t="str">
            <v>HOÀNG KIỀU OANH</v>
          </cell>
          <cell r="E39" t="str">
            <v>TL CHT</v>
          </cell>
          <cell r="G39">
            <v>45161</v>
          </cell>
          <cell r="H39">
            <v>45222</v>
          </cell>
          <cell r="I39">
            <v>2</v>
          </cell>
          <cell r="J39" t="str">
            <v>Chính thức</v>
          </cell>
          <cell r="K39">
            <v>27</v>
          </cell>
          <cell r="L39">
            <v>26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26</v>
          </cell>
          <cell r="U39">
            <v>5310000</v>
          </cell>
          <cell r="V39">
            <v>700000</v>
          </cell>
          <cell r="W39">
            <v>1000000</v>
          </cell>
          <cell r="X39">
            <v>650000</v>
          </cell>
          <cell r="Y39">
            <v>400000</v>
          </cell>
          <cell r="Z39">
            <v>8060000</v>
          </cell>
          <cell r="AA39">
            <v>7761481.4814814823</v>
          </cell>
          <cell r="AB39">
            <v>0</v>
          </cell>
          <cell r="AC39">
            <v>0</v>
          </cell>
          <cell r="AD39">
            <v>7761481.4814814823</v>
          </cell>
          <cell r="AF39">
            <v>350000</v>
          </cell>
          <cell r="AH39">
            <v>1584312.9213483147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0</v>
          </cell>
          <cell r="AP39">
            <v>0</v>
          </cell>
          <cell r="AQ39">
            <v>9695794</v>
          </cell>
          <cell r="AR39">
            <v>9695794</v>
          </cell>
          <cell r="AS39">
            <v>557550</v>
          </cell>
          <cell r="AT39">
            <v>1141650</v>
          </cell>
          <cell r="AU39">
            <v>26550</v>
          </cell>
          <cell r="AV39">
            <v>106200</v>
          </cell>
          <cell r="AW39">
            <v>15500000</v>
          </cell>
          <cell r="AX39">
            <v>7595794</v>
          </cell>
          <cell r="AY39">
            <v>0</v>
          </cell>
          <cell r="AZ39">
            <v>0</v>
          </cell>
          <cell r="BC39">
            <v>584100</v>
          </cell>
          <cell r="BE39">
            <v>9111694</v>
          </cell>
          <cell r="BF39">
            <v>9111694</v>
          </cell>
          <cell r="BG39" t="str">
            <v>CK</v>
          </cell>
          <cell r="BH39" t="str">
            <v>8860017103</v>
          </cell>
          <cell r="BI39" t="str">
            <v xml:space="preserve">Ngân hàng TMCP Đầu tư và Phát triển  Việt Nam (BIDV) - CN Lạch Tray </v>
          </cell>
        </row>
        <row r="40">
          <cell r="C40" t="str">
            <v>VB00046</v>
          </cell>
          <cell r="D40" t="str">
            <v>ĐOÀN THỊ PHƯƠNG THẢO</v>
          </cell>
          <cell r="E40" t="str">
            <v>Thu ngân</v>
          </cell>
          <cell r="G40">
            <v>44158</v>
          </cell>
          <cell r="H40">
            <v>44219</v>
          </cell>
          <cell r="I40">
            <v>5</v>
          </cell>
          <cell r="J40" t="str">
            <v>Chính thức</v>
          </cell>
          <cell r="K40">
            <v>27</v>
          </cell>
          <cell r="L40">
            <v>26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26</v>
          </cell>
          <cell r="U40">
            <v>5310000</v>
          </cell>
          <cell r="V40">
            <v>700000</v>
          </cell>
          <cell r="W40">
            <v>350000</v>
          </cell>
          <cell r="X40">
            <v>500000</v>
          </cell>
          <cell r="Y40">
            <v>400000</v>
          </cell>
          <cell r="Z40">
            <v>7260000</v>
          </cell>
          <cell r="AA40">
            <v>6991111.111111111</v>
          </cell>
          <cell r="AB40">
            <v>0</v>
          </cell>
          <cell r="AC40">
            <v>0</v>
          </cell>
          <cell r="AD40">
            <v>6991111.111111111</v>
          </cell>
          <cell r="AF40">
            <v>350000</v>
          </cell>
          <cell r="AH40">
            <v>1462442.6966292132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N40">
            <v>0</v>
          </cell>
          <cell r="AP40">
            <v>0</v>
          </cell>
          <cell r="AQ40">
            <v>8803554</v>
          </cell>
          <cell r="AR40">
            <v>8803554</v>
          </cell>
          <cell r="AS40">
            <v>557550</v>
          </cell>
          <cell r="AT40">
            <v>1141650</v>
          </cell>
          <cell r="AU40">
            <v>26550</v>
          </cell>
          <cell r="AV40">
            <v>106200</v>
          </cell>
          <cell r="AW40">
            <v>15500000</v>
          </cell>
          <cell r="AX40">
            <v>7353554</v>
          </cell>
          <cell r="AY40">
            <v>0</v>
          </cell>
          <cell r="AZ40">
            <v>0</v>
          </cell>
          <cell r="BC40">
            <v>584100</v>
          </cell>
          <cell r="BE40">
            <v>8219454</v>
          </cell>
          <cell r="BF40">
            <v>8219454</v>
          </cell>
          <cell r="BH40">
            <v>3211184234</v>
          </cell>
          <cell r="BI40" t="str">
            <v>BIDV</v>
          </cell>
        </row>
        <row r="41">
          <cell r="C41" t="str">
            <v>VB00047</v>
          </cell>
          <cell r="D41" t="str">
            <v>ĐỒNG THỊ THANH THƯ</v>
          </cell>
          <cell r="E41" t="str">
            <v>NVBH</v>
          </cell>
          <cell r="F41" t="str">
            <v>Cao cấp</v>
          </cell>
          <cell r="G41">
            <v>44158</v>
          </cell>
          <cell r="H41">
            <v>44219</v>
          </cell>
          <cell r="I41">
            <v>5</v>
          </cell>
          <cell r="J41" t="str">
            <v>Chính thức</v>
          </cell>
          <cell r="K41">
            <v>27</v>
          </cell>
          <cell r="L41">
            <v>26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26</v>
          </cell>
          <cell r="U41">
            <v>5310000</v>
          </cell>
          <cell r="V41">
            <v>700000</v>
          </cell>
          <cell r="W41">
            <v>350000</v>
          </cell>
          <cell r="X41">
            <v>500000</v>
          </cell>
          <cell r="Y41">
            <v>400000</v>
          </cell>
          <cell r="Z41">
            <v>7260000</v>
          </cell>
          <cell r="AA41">
            <v>6991111.111111111</v>
          </cell>
          <cell r="AB41">
            <v>0</v>
          </cell>
          <cell r="AC41">
            <v>0</v>
          </cell>
          <cell r="AD41">
            <v>6991111.111111111</v>
          </cell>
          <cell r="AF41">
            <v>350000</v>
          </cell>
          <cell r="AH41">
            <v>1296667.7591011235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N41">
            <v>0</v>
          </cell>
          <cell r="AP41">
            <v>0</v>
          </cell>
          <cell r="AQ41">
            <v>8637779</v>
          </cell>
          <cell r="AR41">
            <v>8637779</v>
          </cell>
          <cell r="AS41">
            <v>557550</v>
          </cell>
          <cell r="AT41">
            <v>1141650</v>
          </cell>
          <cell r="AU41">
            <v>26550</v>
          </cell>
          <cell r="AV41">
            <v>106200</v>
          </cell>
          <cell r="AW41">
            <v>15500000</v>
          </cell>
          <cell r="AX41">
            <v>7187779</v>
          </cell>
          <cell r="AY41">
            <v>0</v>
          </cell>
          <cell r="AZ41">
            <v>0</v>
          </cell>
          <cell r="BC41">
            <v>584100</v>
          </cell>
          <cell r="BE41">
            <v>8053679</v>
          </cell>
          <cell r="BF41">
            <v>8053679</v>
          </cell>
          <cell r="BG41" t="str">
            <v>CK</v>
          </cell>
          <cell r="BH41">
            <v>3230448719</v>
          </cell>
          <cell r="BI41" t="str">
            <v>Ngân hàng TMCP Đầu tư và Phát triển  Việt Nam (BIDV)</v>
          </cell>
        </row>
        <row r="42">
          <cell r="C42" t="str">
            <v>VB00043</v>
          </cell>
          <cell r="D42" t="str">
            <v>NGUYỄN THỊ HUYỀN TRANG</v>
          </cell>
          <cell r="E42" t="str">
            <v>NVBH</v>
          </cell>
          <cell r="F42" t="str">
            <v>Cao cấp</v>
          </cell>
          <cell r="G42">
            <v>44154</v>
          </cell>
          <cell r="H42">
            <v>44216</v>
          </cell>
          <cell r="I42">
            <v>5</v>
          </cell>
          <cell r="J42" t="str">
            <v>Chính thức</v>
          </cell>
          <cell r="K42">
            <v>27</v>
          </cell>
          <cell r="L42">
            <v>26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26</v>
          </cell>
          <cell r="U42">
            <v>5310000</v>
          </cell>
          <cell r="V42">
            <v>700000</v>
          </cell>
          <cell r="W42">
            <v>350000</v>
          </cell>
          <cell r="X42">
            <v>500000</v>
          </cell>
          <cell r="Y42">
            <v>400000</v>
          </cell>
          <cell r="Z42">
            <v>7260000</v>
          </cell>
          <cell r="AA42">
            <v>6991111.111111111</v>
          </cell>
          <cell r="AB42">
            <v>0</v>
          </cell>
          <cell r="AC42">
            <v>0</v>
          </cell>
          <cell r="AD42">
            <v>6991111.111111111</v>
          </cell>
          <cell r="AF42">
            <v>350000</v>
          </cell>
          <cell r="AH42">
            <v>1242694.966292135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0</v>
          </cell>
          <cell r="AP42">
            <v>0</v>
          </cell>
          <cell r="AQ42">
            <v>8583806</v>
          </cell>
          <cell r="AR42">
            <v>8583806</v>
          </cell>
          <cell r="AS42">
            <v>557550</v>
          </cell>
          <cell r="AT42">
            <v>1141650</v>
          </cell>
          <cell r="AU42">
            <v>26550</v>
          </cell>
          <cell r="AV42">
            <v>106200</v>
          </cell>
          <cell r="AW42">
            <v>15500000</v>
          </cell>
          <cell r="AX42">
            <v>7133806</v>
          </cell>
          <cell r="AY42">
            <v>0</v>
          </cell>
          <cell r="AZ42">
            <v>0</v>
          </cell>
          <cell r="BC42">
            <v>584100</v>
          </cell>
          <cell r="BE42">
            <v>7999706</v>
          </cell>
          <cell r="BF42">
            <v>7999706</v>
          </cell>
          <cell r="BG42" t="str">
            <v>CK</v>
          </cell>
          <cell r="BH42" t="str">
            <v>3230447655</v>
          </cell>
          <cell r="BI42" t="str">
            <v>Ngân hàng TMCP Đầu tư và Phát triển  Việt Nam (BIDV) - CN DONG HAI PHONG</v>
          </cell>
        </row>
        <row r="43">
          <cell r="C43" t="str">
            <v>VB00365</v>
          </cell>
          <cell r="D43" t="str">
            <v>NGUYỄN THỊ THU TRANG</v>
          </cell>
          <cell r="E43" t="str">
            <v>NVBH</v>
          </cell>
          <cell r="F43" t="str">
            <v>Trung cấp</v>
          </cell>
          <cell r="G43">
            <v>45262</v>
          </cell>
          <cell r="H43">
            <v>45323</v>
          </cell>
          <cell r="I43">
            <v>2</v>
          </cell>
          <cell r="J43" t="str">
            <v>Chính thức</v>
          </cell>
          <cell r="K43">
            <v>27</v>
          </cell>
          <cell r="L43">
            <v>26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26</v>
          </cell>
          <cell r="U43">
            <v>5310000</v>
          </cell>
          <cell r="V43">
            <v>700000</v>
          </cell>
          <cell r="X43">
            <v>500000</v>
          </cell>
          <cell r="Y43">
            <v>400000</v>
          </cell>
          <cell r="Z43">
            <v>6910000</v>
          </cell>
          <cell r="AA43">
            <v>6654074.0740740737</v>
          </cell>
          <cell r="AB43">
            <v>0</v>
          </cell>
          <cell r="AC43">
            <v>0</v>
          </cell>
          <cell r="AD43">
            <v>6654074.0740740737</v>
          </cell>
          <cell r="AF43">
            <v>350000</v>
          </cell>
          <cell r="AH43">
            <v>1292669.1814831463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0</v>
          </cell>
          <cell r="AP43">
            <v>0</v>
          </cell>
          <cell r="AQ43">
            <v>8296743</v>
          </cell>
          <cell r="AR43">
            <v>8296743</v>
          </cell>
          <cell r="AS43">
            <v>557550</v>
          </cell>
          <cell r="AT43">
            <v>1141650</v>
          </cell>
          <cell r="AU43">
            <v>26550</v>
          </cell>
          <cell r="AV43">
            <v>106200</v>
          </cell>
          <cell r="AW43">
            <v>15500000</v>
          </cell>
          <cell r="AX43">
            <v>7196743</v>
          </cell>
          <cell r="AY43">
            <v>0</v>
          </cell>
          <cell r="AZ43">
            <v>0</v>
          </cell>
          <cell r="BC43">
            <v>584100</v>
          </cell>
          <cell r="BE43">
            <v>7712643</v>
          </cell>
          <cell r="BF43">
            <v>7712643</v>
          </cell>
          <cell r="BG43" t="str">
            <v>CK</v>
          </cell>
          <cell r="BH43">
            <v>8841212992</v>
          </cell>
          <cell r="BI43" t="str">
            <v>BIDV - CN Hải Phòng</v>
          </cell>
        </row>
        <row r="44">
          <cell r="C44" t="str">
            <v>VB00171</v>
          </cell>
          <cell r="D44" t="str">
            <v>BÙI ĐỨC HUY</v>
          </cell>
          <cell r="E44" t="str">
            <v>NVBH</v>
          </cell>
          <cell r="F44" t="str">
            <v>Trung cấp</v>
          </cell>
          <cell r="G44">
            <v>44643</v>
          </cell>
          <cell r="H44">
            <v>44703</v>
          </cell>
          <cell r="I44">
            <v>4</v>
          </cell>
          <cell r="J44" t="str">
            <v>Chính thức</v>
          </cell>
          <cell r="K44">
            <v>27</v>
          </cell>
          <cell r="L44">
            <v>26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26</v>
          </cell>
          <cell r="U44">
            <v>5310000</v>
          </cell>
          <cell r="V44">
            <v>700000</v>
          </cell>
          <cell r="X44">
            <v>500000</v>
          </cell>
          <cell r="Y44">
            <v>400000</v>
          </cell>
          <cell r="Z44">
            <v>6910000</v>
          </cell>
          <cell r="AA44">
            <v>6654074.0740740737</v>
          </cell>
          <cell r="AB44">
            <v>0</v>
          </cell>
          <cell r="AC44">
            <v>0</v>
          </cell>
          <cell r="AD44">
            <v>6654074.0740740737</v>
          </cell>
          <cell r="AF44">
            <v>350000</v>
          </cell>
          <cell r="AH44">
            <v>1479360.8571685394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>
            <v>0</v>
          </cell>
          <cell r="AP44">
            <v>0</v>
          </cell>
          <cell r="AQ44">
            <v>8483435</v>
          </cell>
          <cell r="AR44">
            <v>8483435</v>
          </cell>
          <cell r="AS44">
            <v>557550</v>
          </cell>
          <cell r="AT44">
            <v>1141650</v>
          </cell>
          <cell r="AU44">
            <v>26550</v>
          </cell>
          <cell r="AV44">
            <v>106200</v>
          </cell>
          <cell r="AW44">
            <v>15500000</v>
          </cell>
          <cell r="AX44">
            <v>7383435</v>
          </cell>
          <cell r="AY44">
            <v>0</v>
          </cell>
          <cell r="AZ44">
            <v>0</v>
          </cell>
          <cell r="BC44">
            <v>584100</v>
          </cell>
          <cell r="BE44">
            <v>7899335</v>
          </cell>
          <cell r="BF44">
            <v>7899335</v>
          </cell>
          <cell r="BG44" t="str">
            <v>CK</v>
          </cell>
          <cell r="BH44" t="str">
            <v>3230348688</v>
          </cell>
          <cell r="BI44" t="str">
            <v>Ngân hàng TMCP Đầu tư và Phát triển  Việt Nam (BIDV)</v>
          </cell>
        </row>
        <row r="45">
          <cell r="C45" t="str">
            <v>VBP00020</v>
          </cell>
          <cell r="D45" t="str">
            <v>VŨ HẢI NAM</v>
          </cell>
          <cell r="E45" t="str">
            <v>NVBH</v>
          </cell>
          <cell r="F45" t="str">
            <v>PART</v>
          </cell>
          <cell r="G45">
            <v>46152</v>
          </cell>
          <cell r="H45">
            <v>46152</v>
          </cell>
          <cell r="I45">
            <v>0</v>
          </cell>
          <cell r="J45" t="str">
            <v>Thời vụ</v>
          </cell>
          <cell r="K45">
            <v>27</v>
          </cell>
          <cell r="L45">
            <v>14.5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14.5</v>
          </cell>
          <cell r="U45">
            <v>266666.66666666669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266666.66666666669</v>
          </cell>
          <cell r="AA45">
            <v>3866666.666666667</v>
          </cell>
          <cell r="AB45">
            <v>0</v>
          </cell>
          <cell r="AC45">
            <v>0</v>
          </cell>
          <cell r="AD45">
            <v>3866666.666666667</v>
          </cell>
          <cell r="AF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N45">
            <v>0</v>
          </cell>
          <cell r="AP45">
            <v>0</v>
          </cell>
          <cell r="AQ45">
            <v>3866667</v>
          </cell>
          <cell r="AR45">
            <v>3866667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15500000</v>
          </cell>
          <cell r="AX45">
            <v>3866667</v>
          </cell>
          <cell r="AY45">
            <v>0</v>
          </cell>
          <cell r="AZ45">
            <v>0</v>
          </cell>
          <cell r="BC45">
            <v>0</v>
          </cell>
          <cell r="BE45">
            <v>3866667</v>
          </cell>
          <cell r="BF45">
            <v>3866667</v>
          </cell>
          <cell r="BG45" t="str">
            <v>CK</v>
          </cell>
          <cell r="BH45">
            <v>8834919280</v>
          </cell>
          <cell r="BI45" t="str">
            <v>BIDV</v>
          </cell>
        </row>
        <row r="46">
          <cell r="K46">
            <v>216</v>
          </cell>
          <cell r="L46">
            <v>196.5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196.5</v>
          </cell>
          <cell r="U46">
            <v>37986666.666666664</v>
          </cell>
          <cell r="V46">
            <v>4900000</v>
          </cell>
          <cell r="W46">
            <v>3550000</v>
          </cell>
          <cell r="X46">
            <v>3950000</v>
          </cell>
          <cell r="Y46">
            <v>2800000</v>
          </cell>
          <cell r="Z46">
            <v>53186666.666666664</v>
          </cell>
          <cell r="AA46">
            <v>54826666.666666664</v>
          </cell>
          <cell r="AB46">
            <v>0</v>
          </cell>
          <cell r="AC46">
            <v>0</v>
          </cell>
          <cell r="AD46">
            <v>54826666.666666664</v>
          </cell>
          <cell r="AE46">
            <v>0</v>
          </cell>
          <cell r="AF46">
            <v>2450000</v>
          </cell>
          <cell r="AG46">
            <v>0</v>
          </cell>
          <cell r="AH46">
            <v>10795552.876404494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P46">
            <v>0</v>
          </cell>
          <cell r="AQ46">
            <v>68072220</v>
          </cell>
          <cell r="AR46">
            <v>68072220</v>
          </cell>
          <cell r="AS46">
            <v>3960600</v>
          </cell>
          <cell r="AT46">
            <v>8109800</v>
          </cell>
          <cell r="AU46">
            <v>188600</v>
          </cell>
          <cell r="AV46">
            <v>754400</v>
          </cell>
          <cell r="AW46">
            <v>130200000</v>
          </cell>
          <cell r="AX46">
            <v>56822220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4149200</v>
          </cell>
          <cell r="BD46">
            <v>0</v>
          </cell>
          <cell r="BE46">
            <v>63923020</v>
          </cell>
          <cell r="BF46">
            <v>63923020</v>
          </cell>
        </row>
        <row r="47">
          <cell r="C47" t="str">
            <v>VB00069</v>
          </cell>
          <cell r="D47" t="str">
            <v>NGUYỄN THỊ NGÂN</v>
          </cell>
          <cell r="E47" t="str">
            <v>CHT</v>
          </cell>
          <cell r="F47" t="str">
            <v>Cao cấp</v>
          </cell>
          <cell r="G47">
            <v>44291</v>
          </cell>
          <cell r="H47">
            <v>44352</v>
          </cell>
          <cell r="I47">
            <v>5</v>
          </cell>
          <cell r="J47" t="str">
            <v>Chính thức</v>
          </cell>
          <cell r="K47">
            <v>27</v>
          </cell>
          <cell r="L47">
            <v>26</v>
          </cell>
          <cell r="M47">
            <v>0</v>
          </cell>
          <cell r="N47">
            <v>0</v>
          </cell>
          <cell r="O47">
            <v>40</v>
          </cell>
          <cell r="P47">
            <v>0</v>
          </cell>
          <cell r="R47">
            <v>0</v>
          </cell>
          <cell r="S47">
            <v>0</v>
          </cell>
          <cell r="T47">
            <v>26</v>
          </cell>
          <cell r="U47">
            <v>5860000</v>
          </cell>
          <cell r="V47">
            <v>700000</v>
          </cell>
          <cell r="W47">
            <v>1500000</v>
          </cell>
          <cell r="X47">
            <v>800000</v>
          </cell>
          <cell r="Y47">
            <v>400000</v>
          </cell>
          <cell r="Z47">
            <v>9260000</v>
          </cell>
          <cell r="AA47">
            <v>8917037.0370370373</v>
          </cell>
          <cell r="AB47">
            <v>0</v>
          </cell>
          <cell r="AC47">
            <v>0</v>
          </cell>
          <cell r="AD47">
            <v>8917037.0370370373</v>
          </cell>
          <cell r="AF47">
            <v>350000</v>
          </cell>
          <cell r="AH47">
            <v>4323831.7073170738</v>
          </cell>
          <cell r="AI47">
            <v>0</v>
          </cell>
          <cell r="AJ47">
            <v>2170370.3703703703</v>
          </cell>
          <cell r="AK47">
            <v>0</v>
          </cell>
          <cell r="AL47">
            <v>0</v>
          </cell>
          <cell r="AN47">
            <v>0</v>
          </cell>
          <cell r="AQ47">
            <v>15761239</v>
          </cell>
          <cell r="AR47">
            <v>15761239</v>
          </cell>
          <cell r="AS47">
            <v>615300</v>
          </cell>
          <cell r="AT47">
            <v>1259900</v>
          </cell>
          <cell r="AU47">
            <v>29300</v>
          </cell>
          <cell r="AV47">
            <v>117200</v>
          </cell>
          <cell r="AW47">
            <v>15500000</v>
          </cell>
          <cell r="AX47">
            <v>10990869</v>
          </cell>
          <cell r="AY47">
            <v>0</v>
          </cell>
          <cell r="AZ47">
            <v>0</v>
          </cell>
          <cell r="BC47">
            <v>644600</v>
          </cell>
          <cell r="BE47">
            <v>15116639</v>
          </cell>
          <cell r="BF47">
            <v>15116639</v>
          </cell>
          <cell r="BG47" t="str">
            <v>CK</v>
          </cell>
          <cell r="BH47" t="str">
            <v>3901890775</v>
          </cell>
          <cell r="BI47" t="str">
            <v>Ngân hàng TMCP Đầu tư và Phát triển  Việt Nam (BIDV)</v>
          </cell>
        </row>
        <row r="48">
          <cell r="C48" t="str">
            <v>VB00668</v>
          </cell>
          <cell r="D48" t="str">
            <v>LƯƠNG NGUYỄN HẢI ANH</v>
          </cell>
          <cell r="E48" t="str">
            <v>NVBH</v>
          </cell>
          <cell r="F48" t="str">
            <v>Sơ cấp</v>
          </cell>
          <cell r="G48">
            <v>46090</v>
          </cell>
          <cell r="H48">
            <v>45779</v>
          </cell>
          <cell r="I48">
            <v>0</v>
          </cell>
          <cell r="J48" t="str">
            <v>Chính thức</v>
          </cell>
          <cell r="K48">
            <v>27</v>
          </cell>
          <cell r="L48">
            <v>26</v>
          </cell>
          <cell r="M48">
            <v>0</v>
          </cell>
          <cell r="N48">
            <v>0</v>
          </cell>
          <cell r="O48">
            <v>40</v>
          </cell>
          <cell r="P48">
            <v>0</v>
          </cell>
          <cell r="R48">
            <v>0</v>
          </cell>
          <cell r="S48">
            <v>0</v>
          </cell>
          <cell r="T48">
            <v>26</v>
          </cell>
          <cell r="U48">
            <v>5310000</v>
          </cell>
          <cell r="V48">
            <v>700000</v>
          </cell>
          <cell r="W48">
            <v>150000</v>
          </cell>
          <cell r="X48">
            <v>500000</v>
          </cell>
          <cell r="Z48">
            <v>6660000</v>
          </cell>
          <cell r="AA48">
            <v>6413333.333333333</v>
          </cell>
          <cell r="AB48">
            <v>0</v>
          </cell>
          <cell r="AC48">
            <v>0</v>
          </cell>
          <cell r="AD48">
            <v>6413333.333333333</v>
          </cell>
          <cell r="AF48">
            <v>350000</v>
          </cell>
          <cell r="AH48">
            <v>3093874.1707317065</v>
          </cell>
          <cell r="AI48">
            <v>0</v>
          </cell>
          <cell r="AJ48">
            <v>1966666.6666666665</v>
          </cell>
          <cell r="AK48">
            <v>0</v>
          </cell>
          <cell r="AL48">
            <v>0</v>
          </cell>
          <cell r="AN48">
            <v>0</v>
          </cell>
          <cell r="AQ48">
            <v>11823874</v>
          </cell>
          <cell r="AR48">
            <v>11823874</v>
          </cell>
          <cell r="AS48">
            <v>557550</v>
          </cell>
          <cell r="AT48">
            <v>1141650</v>
          </cell>
          <cell r="AU48">
            <v>26550</v>
          </cell>
          <cell r="AV48">
            <v>106200</v>
          </cell>
          <cell r="AW48">
            <v>15500000</v>
          </cell>
          <cell r="AX48">
            <v>9007207</v>
          </cell>
          <cell r="AY48">
            <v>0</v>
          </cell>
          <cell r="AZ48">
            <v>0</v>
          </cell>
          <cell r="BC48">
            <v>584100</v>
          </cell>
          <cell r="BE48">
            <v>11239774</v>
          </cell>
          <cell r="BF48">
            <v>11239774</v>
          </cell>
          <cell r="BG48" t="str">
            <v>CK</v>
          </cell>
          <cell r="BH48">
            <v>8897359275</v>
          </cell>
          <cell r="BI48" t="str">
            <v>BIDV</v>
          </cell>
        </row>
        <row r="49">
          <cell r="K49">
            <v>54</v>
          </cell>
          <cell r="L49">
            <v>52</v>
          </cell>
          <cell r="M49">
            <v>0</v>
          </cell>
          <cell r="N49">
            <v>0</v>
          </cell>
          <cell r="O49">
            <v>80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52</v>
          </cell>
          <cell r="U49">
            <v>11170000</v>
          </cell>
          <cell r="V49">
            <v>1400000</v>
          </cell>
          <cell r="W49">
            <v>1650000</v>
          </cell>
          <cell r="X49">
            <v>1300000</v>
          </cell>
          <cell r="Y49">
            <v>400000</v>
          </cell>
          <cell r="Z49">
            <v>15920000</v>
          </cell>
          <cell r="AA49">
            <v>15330370.370370369</v>
          </cell>
          <cell r="AB49">
            <v>0</v>
          </cell>
          <cell r="AC49">
            <v>0</v>
          </cell>
          <cell r="AD49">
            <v>15330370.370370369</v>
          </cell>
          <cell r="AE49">
            <v>0</v>
          </cell>
          <cell r="AF49">
            <v>700000</v>
          </cell>
          <cell r="AG49">
            <v>0</v>
          </cell>
          <cell r="AH49">
            <v>7417705.8780487804</v>
          </cell>
          <cell r="AI49">
            <v>0</v>
          </cell>
          <cell r="AJ49">
            <v>4137037.0370370368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27585113</v>
          </cell>
          <cell r="AR49">
            <v>27585113</v>
          </cell>
          <cell r="AS49">
            <v>1172850</v>
          </cell>
          <cell r="AT49">
            <v>2401550</v>
          </cell>
          <cell r="AU49">
            <v>55850</v>
          </cell>
          <cell r="AV49">
            <v>223400</v>
          </cell>
          <cell r="AW49">
            <v>31000000</v>
          </cell>
          <cell r="AX49">
            <v>19998076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1228700</v>
          </cell>
          <cell r="BD49">
            <v>0</v>
          </cell>
          <cell r="BE49">
            <v>26356413</v>
          </cell>
          <cell r="BF49">
            <v>26356413</v>
          </cell>
        </row>
        <row r="50">
          <cell r="C50" t="str">
            <v>VB00075</v>
          </cell>
          <cell r="D50" t="str">
            <v>PHAN THỊ HỒNG MY</v>
          </cell>
          <cell r="E50" t="str">
            <v>Thu ngân</v>
          </cell>
          <cell r="F50" t="str">
            <v>Cao cấp</v>
          </cell>
          <cell r="G50">
            <v>44291</v>
          </cell>
          <cell r="H50">
            <v>44352</v>
          </cell>
          <cell r="I50">
            <v>5</v>
          </cell>
          <cell r="J50" t="str">
            <v>Chính thức</v>
          </cell>
          <cell r="K50">
            <v>27</v>
          </cell>
          <cell r="L50">
            <v>26</v>
          </cell>
          <cell r="M50">
            <v>0</v>
          </cell>
          <cell r="N50">
            <v>29</v>
          </cell>
          <cell r="O50">
            <v>0</v>
          </cell>
          <cell r="P50">
            <v>0</v>
          </cell>
          <cell r="Q50">
            <v>6</v>
          </cell>
          <cell r="R50">
            <v>0</v>
          </cell>
          <cell r="S50">
            <v>0</v>
          </cell>
          <cell r="T50">
            <v>26</v>
          </cell>
          <cell r="U50">
            <v>5310000</v>
          </cell>
          <cell r="V50">
            <v>700000</v>
          </cell>
          <cell r="W50">
            <v>1000000</v>
          </cell>
          <cell r="X50">
            <v>750000</v>
          </cell>
          <cell r="Y50">
            <v>400000</v>
          </cell>
          <cell r="Z50">
            <v>8160000</v>
          </cell>
          <cell r="AA50">
            <v>7857777.777777778</v>
          </cell>
          <cell r="AB50">
            <v>0</v>
          </cell>
          <cell r="AC50">
            <v>0</v>
          </cell>
          <cell r="AD50">
            <v>7857777.777777778</v>
          </cell>
          <cell r="AF50">
            <v>350000</v>
          </cell>
          <cell r="AH50">
            <v>2762733.7499999995</v>
          </cell>
          <cell r="AI50">
            <v>1069375</v>
          </cell>
          <cell r="AJ50">
            <v>0</v>
          </cell>
          <cell r="AK50">
            <v>0</v>
          </cell>
          <cell r="AL50">
            <v>295000</v>
          </cell>
          <cell r="AN50">
            <v>0</v>
          </cell>
          <cell r="AP50">
            <v>0</v>
          </cell>
          <cell r="AQ50">
            <v>12334887</v>
          </cell>
          <cell r="AR50">
            <v>12334887</v>
          </cell>
          <cell r="AS50">
            <v>557550</v>
          </cell>
          <cell r="AT50">
            <v>1141650</v>
          </cell>
          <cell r="AU50">
            <v>26550</v>
          </cell>
          <cell r="AV50">
            <v>106200</v>
          </cell>
          <cell r="AW50">
            <v>21700000</v>
          </cell>
          <cell r="AX50">
            <v>8870512</v>
          </cell>
          <cell r="AY50">
            <v>0</v>
          </cell>
          <cell r="AZ50">
            <v>0</v>
          </cell>
          <cell r="BC50">
            <v>584100</v>
          </cell>
          <cell r="BE50">
            <v>11750787</v>
          </cell>
          <cell r="BF50">
            <v>11750787</v>
          </cell>
          <cell r="BG50" t="str">
            <v>CK</v>
          </cell>
          <cell r="BH50" t="str">
            <v>4505182657</v>
          </cell>
          <cell r="BI50" t="str">
            <v>BIDV chi nhánh Hoài Đức</v>
          </cell>
        </row>
        <row r="51">
          <cell r="C51" t="str">
            <v>VB00265</v>
          </cell>
          <cell r="D51" t="str">
            <v>CAO THỊ HỒNG HẠNH</v>
          </cell>
          <cell r="E51" t="str">
            <v>NVBH</v>
          </cell>
          <cell r="F51" t="str">
            <v>Cao cấp</v>
          </cell>
          <cell r="G51">
            <v>44868</v>
          </cell>
          <cell r="H51">
            <v>44929</v>
          </cell>
          <cell r="I51">
            <v>3</v>
          </cell>
          <cell r="J51" t="str">
            <v>Chính thức</v>
          </cell>
          <cell r="K51">
            <v>27</v>
          </cell>
          <cell r="L51">
            <v>26</v>
          </cell>
          <cell r="M51">
            <v>0</v>
          </cell>
          <cell r="N51">
            <v>22</v>
          </cell>
          <cell r="O51">
            <v>0</v>
          </cell>
          <cell r="P51">
            <v>0</v>
          </cell>
          <cell r="Q51">
            <v>10</v>
          </cell>
          <cell r="R51">
            <v>0</v>
          </cell>
          <cell r="S51">
            <v>0</v>
          </cell>
          <cell r="T51">
            <v>26</v>
          </cell>
          <cell r="U51">
            <v>5310000</v>
          </cell>
          <cell r="V51">
            <v>700000</v>
          </cell>
          <cell r="W51">
            <v>1000000</v>
          </cell>
          <cell r="X51">
            <v>750000</v>
          </cell>
          <cell r="Y51">
            <v>400000</v>
          </cell>
          <cell r="Z51">
            <v>8160000</v>
          </cell>
          <cell r="AA51">
            <v>7857777.777777778</v>
          </cell>
          <cell r="AB51">
            <v>0</v>
          </cell>
          <cell r="AC51">
            <v>0</v>
          </cell>
          <cell r="AD51">
            <v>7857777.777777778</v>
          </cell>
          <cell r="AF51">
            <v>350000</v>
          </cell>
          <cell r="AH51">
            <v>3333960.0000000005</v>
          </cell>
          <cell r="AI51">
            <v>811249.99999999988</v>
          </cell>
          <cell r="AJ51">
            <v>0</v>
          </cell>
          <cell r="AK51">
            <v>0</v>
          </cell>
          <cell r="AL51">
            <v>491666.66666666663</v>
          </cell>
          <cell r="AN51">
            <v>0</v>
          </cell>
          <cell r="AP51">
            <v>0</v>
          </cell>
          <cell r="AQ51">
            <v>12844654</v>
          </cell>
          <cell r="AR51">
            <v>12844654</v>
          </cell>
          <cell r="AS51">
            <v>557550</v>
          </cell>
          <cell r="AT51">
            <v>1141650</v>
          </cell>
          <cell r="AU51">
            <v>26550</v>
          </cell>
          <cell r="AV51">
            <v>106200</v>
          </cell>
          <cell r="AW51">
            <v>15500000</v>
          </cell>
          <cell r="AX51">
            <v>9441737</v>
          </cell>
          <cell r="AY51">
            <v>0</v>
          </cell>
          <cell r="AZ51">
            <v>0</v>
          </cell>
          <cell r="BC51">
            <v>584100</v>
          </cell>
          <cell r="BE51">
            <v>12260554</v>
          </cell>
          <cell r="BF51">
            <v>12260554</v>
          </cell>
          <cell r="BG51" t="str">
            <v>CK</v>
          </cell>
          <cell r="BH51" t="str">
            <v>2153233952</v>
          </cell>
          <cell r="BI51" t="str">
            <v>BIDV - CN Cầu Giấy</v>
          </cell>
        </row>
        <row r="52">
          <cell r="C52" t="str">
            <v>VB00165</v>
          </cell>
          <cell r="D52" t="str">
            <v>NGUYỄN THỊ HOÀI THU</v>
          </cell>
          <cell r="E52" t="str">
            <v>NVBH</v>
          </cell>
          <cell r="F52" t="str">
            <v>Cao cấp</v>
          </cell>
          <cell r="G52">
            <v>44631</v>
          </cell>
          <cell r="H52">
            <v>44691</v>
          </cell>
          <cell r="I52">
            <v>4</v>
          </cell>
          <cell r="J52" t="str">
            <v>Chính thức</v>
          </cell>
          <cell r="K52">
            <v>27</v>
          </cell>
          <cell r="L52">
            <v>26</v>
          </cell>
          <cell r="M52">
            <v>0</v>
          </cell>
          <cell r="N52">
            <v>6</v>
          </cell>
          <cell r="O52">
            <v>0</v>
          </cell>
          <cell r="P52">
            <v>0</v>
          </cell>
          <cell r="Q52">
            <v>6</v>
          </cell>
          <cell r="R52">
            <v>0</v>
          </cell>
          <cell r="S52">
            <v>0</v>
          </cell>
          <cell r="T52">
            <v>26</v>
          </cell>
          <cell r="U52">
            <v>5310000</v>
          </cell>
          <cell r="V52">
            <v>700000</v>
          </cell>
          <cell r="W52">
            <v>1000000</v>
          </cell>
          <cell r="X52">
            <v>750000</v>
          </cell>
          <cell r="Y52">
            <v>400000</v>
          </cell>
          <cell r="Z52">
            <v>8160000</v>
          </cell>
          <cell r="AA52">
            <v>7857777.777777778</v>
          </cell>
          <cell r="AB52">
            <v>0</v>
          </cell>
          <cell r="AC52">
            <v>0</v>
          </cell>
          <cell r="AD52">
            <v>7857777.777777778</v>
          </cell>
          <cell r="AF52">
            <v>350000</v>
          </cell>
          <cell r="AH52">
            <v>2293410.0000000005</v>
          </cell>
          <cell r="AI52">
            <v>221250</v>
          </cell>
          <cell r="AJ52">
            <v>0</v>
          </cell>
          <cell r="AK52">
            <v>0</v>
          </cell>
          <cell r="AL52">
            <v>295000</v>
          </cell>
          <cell r="AN52">
            <v>0</v>
          </cell>
          <cell r="AP52">
            <v>0</v>
          </cell>
          <cell r="AQ52">
            <v>11017438</v>
          </cell>
          <cell r="AR52">
            <v>11017438</v>
          </cell>
          <cell r="AS52">
            <v>557550</v>
          </cell>
          <cell r="AT52">
            <v>1141650</v>
          </cell>
          <cell r="AU52">
            <v>26550</v>
          </cell>
          <cell r="AV52">
            <v>106200</v>
          </cell>
          <cell r="AW52">
            <v>15500000</v>
          </cell>
          <cell r="AX52">
            <v>8401188</v>
          </cell>
          <cell r="AY52">
            <v>0</v>
          </cell>
          <cell r="AZ52">
            <v>840118.8</v>
          </cell>
          <cell r="BC52">
            <v>1424218.8</v>
          </cell>
          <cell r="BE52">
            <v>9593219</v>
          </cell>
          <cell r="BF52">
            <v>9593219</v>
          </cell>
          <cell r="BG52" t="str">
            <v>CK</v>
          </cell>
          <cell r="BH52" t="str">
            <v>1160440715</v>
          </cell>
          <cell r="BI52" t="str">
            <v>Ngân hàng TMCP Đầu tư và Phát triển  Việt Nam (BIDV)</v>
          </cell>
          <cell r="BJ52">
            <v>46234</v>
          </cell>
        </row>
        <row r="53">
          <cell r="C53" t="str">
            <v>VB00287</v>
          </cell>
          <cell r="D53" t="str">
            <v>LƯU HỒNG NHUNG</v>
          </cell>
          <cell r="E53" t="str">
            <v>NVBH</v>
          </cell>
          <cell r="F53" t="str">
            <v>Cao cấp</v>
          </cell>
          <cell r="G53">
            <v>44987</v>
          </cell>
          <cell r="H53">
            <v>45048</v>
          </cell>
          <cell r="I53">
            <v>3</v>
          </cell>
          <cell r="J53" t="str">
            <v>Chính thức</v>
          </cell>
          <cell r="K53">
            <v>27</v>
          </cell>
          <cell r="L53">
            <v>26</v>
          </cell>
          <cell r="M53">
            <v>0</v>
          </cell>
          <cell r="N53">
            <v>4</v>
          </cell>
          <cell r="O53">
            <v>0</v>
          </cell>
          <cell r="P53">
            <v>0</v>
          </cell>
          <cell r="Q53">
            <v>1</v>
          </cell>
          <cell r="R53">
            <v>0</v>
          </cell>
          <cell r="S53">
            <v>0</v>
          </cell>
          <cell r="T53">
            <v>26</v>
          </cell>
          <cell r="U53">
            <v>5310000</v>
          </cell>
          <cell r="V53">
            <v>700000</v>
          </cell>
          <cell r="W53">
            <v>1000000</v>
          </cell>
          <cell r="X53">
            <v>750000</v>
          </cell>
          <cell r="Y53">
            <v>400000</v>
          </cell>
          <cell r="Z53">
            <v>8160000</v>
          </cell>
          <cell r="AA53">
            <v>7857777.777777778</v>
          </cell>
          <cell r="AB53">
            <v>0</v>
          </cell>
          <cell r="AC53">
            <v>0</v>
          </cell>
          <cell r="AD53">
            <v>7857777.777777778</v>
          </cell>
          <cell r="AF53">
            <v>350000</v>
          </cell>
          <cell r="AH53">
            <v>2602768</v>
          </cell>
          <cell r="AI53">
            <v>147500</v>
          </cell>
          <cell r="AJ53">
            <v>0</v>
          </cell>
          <cell r="AK53">
            <v>0</v>
          </cell>
          <cell r="AL53">
            <v>49166.666666666664</v>
          </cell>
          <cell r="AN53">
            <v>0</v>
          </cell>
          <cell r="AP53">
            <v>0</v>
          </cell>
          <cell r="AQ53">
            <v>11007212</v>
          </cell>
          <cell r="AR53">
            <v>11007212</v>
          </cell>
          <cell r="AS53">
            <v>557550</v>
          </cell>
          <cell r="AT53">
            <v>1141650</v>
          </cell>
          <cell r="AU53">
            <v>26550</v>
          </cell>
          <cell r="AV53">
            <v>106200</v>
          </cell>
          <cell r="AW53">
            <v>15500000</v>
          </cell>
          <cell r="AX53">
            <v>8710545</v>
          </cell>
          <cell r="AY53">
            <v>0</v>
          </cell>
          <cell r="AZ53">
            <v>0</v>
          </cell>
          <cell r="BC53">
            <v>584100</v>
          </cell>
          <cell r="BE53">
            <v>10423112</v>
          </cell>
          <cell r="BF53">
            <v>10423112</v>
          </cell>
          <cell r="BG53" t="str">
            <v>CK</v>
          </cell>
          <cell r="BH53" t="str">
            <v>2224293535</v>
          </cell>
          <cell r="BI53" t="str">
            <v>Ngân hàng TMCP Đầu tư và Phát triển  Việt Nam (BIDV) - CN Thanh Xuân</v>
          </cell>
        </row>
        <row r="54">
          <cell r="C54" t="str">
            <v>VB00531</v>
          </cell>
          <cell r="D54" t="str">
            <v>NGUYỄN HỒNG DIỆP</v>
          </cell>
          <cell r="E54" t="str">
            <v>CHT</v>
          </cell>
          <cell r="F54" t="str">
            <v>Cao cấp</v>
          </cell>
          <cell r="G54">
            <v>45710</v>
          </cell>
          <cell r="H54">
            <v>45771</v>
          </cell>
          <cell r="I54">
            <v>1</v>
          </cell>
          <cell r="J54" t="str">
            <v>Chính thức</v>
          </cell>
          <cell r="K54">
            <v>27</v>
          </cell>
          <cell r="L54">
            <v>26</v>
          </cell>
          <cell r="M54">
            <v>0</v>
          </cell>
          <cell r="N54">
            <v>10</v>
          </cell>
          <cell r="O54">
            <v>0</v>
          </cell>
          <cell r="P54">
            <v>0</v>
          </cell>
          <cell r="Q54">
            <v>3</v>
          </cell>
          <cell r="R54">
            <v>0</v>
          </cell>
          <cell r="S54">
            <v>0</v>
          </cell>
          <cell r="T54">
            <v>26</v>
          </cell>
          <cell r="U54">
            <v>5860000</v>
          </cell>
          <cell r="V54">
            <v>700000</v>
          </cell>
          <cell r="W54">
            <v>2000000</v>
          </cell>
          <cell r="X54">
            <v>1100000</v>
          </cell>
          <cell r="Y54">
            <v>400000</v>
          </cell>
          <cell r="Z54">
            <v>10060000</v>
          </cell>
          <cell r="AA54">
            <v>9687407.4074074067</v>
          </cell>
          <cell r="AB54">
            <v>0</v>
          </cell>
          <cell r="AC54">
            <v>0</v>
          </cell>
          <cell r="AD54">
            <v>9687407.4074074067</v>
          </cell>
          <cell r="AF54">
            <v>350000</v>
          </cell>
          <cell r="AH54">
            <v>4604556.2499999991</v>
          </cell>
          <cell r="AI54">
            <v>406944.44444444444</v>
          </cell>
          <cell r="AJ54">
            <v>0</v>
          </cell>
          <cell r="AK54">
            <v>0</v>
          </cell>
          <cell r="AL54">
            <v>162777.77777777778</v>
          </cell>
          <cell r="AN54">
            <v>0</v>
          </cell>
          <cell r="AP54">
            <v>0</v>
          </cell>
          <cell r="AQ54">
            <v>15211686</v>
          </cell>
          <cell r="AR54">
            <v>15211686</v>
          </cell>
          <cell r="AS54">
            <v>615300</v>
          </cell>
          <cell r="AT54">
            <v>1259900</v>
          </cell>
          <cell r="AU54">
            <v>29300</v>
          </cell>
          <cell r="AV54">
            <v>117200</v>
          </cell>
          <cell r="AW54">
            <v>15500000</v>
          </cell>
          <cell r="AX54">
            <v>11541964</v>
          </cell>
          <cell r="AY54">
            <v>0</v>
          </cell>
          <cell r="AZ54">
            <v>0</v>
          </cell>
          <cell r="BC54">
            <v>644600</v>
          </cell>
          <cell r="BE54">
            <v>14567086</v>
          </cell>
          <cell r="BF54">
            <v>14567086</v>
          </cell>
          <cell r="BG54" t="str">
            <v>CK</v>
          </cell>
          <cell r="BH54">
            <v>4506206912</v>
          </cell>
          <cell r="BI54" t="str">
            <v>BIDV</v>
          </cell>
        </row>
        <row r="55">
          <cell r="C55" t="str">
            <v>VB00579</v>
          </cell>
          <cell r="D55" t="str">
            <v>NGUYỄN THÙY LINH</v>
          </cell>
          <cell r="E55" t="str">
            <v>NVBH</v>
          </cell>
          <cell r="F55" t="str">
            <v>Trung cấp</v>
          </cell>
          <cell r="G55">
            <v>45792</v>
          </cell>
          <cell r="H55">
            <v>45853</v>
          </cell>
          <cell r="I55">
            <v>1</v>
          </cell>
          <cell r="J55" t="str">
            <v>Chính thức</v>
          </cell>
          <cell r="K55">
            <v>27</v>
          </cell>
          <cell r="L55">
            <v>26</v>
          </cell>
          <cell r="M55">
            <v>0</v>
          </cell>
          <cell r="N55">
            <v>4</v>
          </cell>
          <cell r="O55">
            <v>0</v>
          </cell>
          <cell r="P55">
            <v>0</v>
          </cell>
          <cell r="Q55">
            <v>8</v>
          </cell>
          <cell r="R55">
            <v>0</v>
          </cell>
          <cell r="S55">
            <v>0</v>
          </cell>
          <cell r="T55">
            <v>26</v>
          </cell>
          <cell r="U55">
            <v>5310000</v>
          </cell>
          <cell r="V55">
            <v>700000</v>
          </cell>
          <cell r="W55">
            <v>650000</v>
          </cell>
          <cell r="X55">
            <v>500000</v>
          </cell>
          <cell r="Y55">
            <v>400000</v>
          </cell>
          <cell r="Z55">
            <v>7560000</v>
          </cell>
          <cell r="AA55">
            <v>7280000</v>
          </cell>
          <cell r="AB55">
            <v>0</v>
          </cell>
          <cell r="AC55">
            <v>0</v>
          </cell>
          <cell r="AD55">
            <v>7280000</v>
          </cell>
          <cell r="AF55">
            <v>350000</v>
          </cell>
          <cell r="AH55">
            <v>2068542.0000000002</v>
          </cell>
          <cell r="AI55">
            <v>147500</v>
          </cell>
          <cell r="AJ55">
            <v>0</v>
          </cell>
          <cell r="AK55">
            <v>0</v>
          </cell>
          <cell r="AL55">
            <v>393333.33333333331</v>
          </cell>
          <cell r="AN55">
            <v>0</v>
          </cell>
          <cell r="AP55">
            <v>0</v>
          </cell>
          <cell r="AQ55">
            <v>10239375</v>
          </cell>
          <cell r="AR55">
            <v>10239375</v>
          </cell>
          <cell r="AS55">
            <v>557550</v>
          </cell>
          <cell r="AT55">
            <v>1141650</v>
          </cell>
          <cell r="AU55">
            <v>26550</v>
          </cell>
          <cell r="AV55">
            <v>106200</v>
          </cell>
          <cell r="AW55">
            <v>15500000</v>
          </cell>
          <cell r="AX55">
            <v>7948542</v>
          </cell>
          <cell r="AY55">
            <v>0</v>
          </cell>
          <cell r="AZ55">
            <v>0</v>
          </cell>
          <cell r="BC55">
            <v>584100</v>
          </cell>
          <cell r="BE55">
            <v>9655275</v>
          </cell>
          <cell r="BF55">
            <v>9655275</v>
          </cell>
          <cell r="BG55" t="str">
            <v>CK</v>
          </cell>
          <cell r="BH55">
            <v>8883551957</v>
          </cell>
          <cell r="BI55" t="str">
            <v>BIDV</v>
          </cell>
        </row>
        <row r="56">
          <cell r="C56" t="str">
            <v>VB00432</v>
          </cell>
          <cell r="D56" t="str">
            <v>VŨ THỊ HƯƠNG TÚ</v>
          </cell>
          <cell r="E56" t="str">
            <v>NVBH</v>
          </cell>
          <cell r="F56" t="str">
            <v>Trung cấp</v>
          </cell>
          <cell r="G56">
            <v>45500</v>
          </cell>
          <cell r="H56">
            <v>45562</v>
          </cell>
          <cell r="I56">
            <v>2</v>
          </cell>
          <cell r="J56" t="str">
            <v>Chính thức</v>
          </cell>
          <cell r="K56">
            <v>27</v>
          </cell>
          <cell r="L56">
            <v>26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8</v>
          </cell>
          <cell r="R56">
            <v>0</v>
          </cell>
          <cell r="S56">
            <v>0</v>
          </cell>
          <cell r="T56">
            <v>26</v>
          </cell>
          <cell r="U56">
            <v>5310000</v>
          </cell>
          <cell r="V56">
            <v>700000</v>
          </cell>
          <cell r="W56">
            <v>650000</v>
          </cell>
          <cell r="X56">
            <v>500000</v>
          </cell>
          <cell r="Y56">
            <v>400000</v>
          </cell>
          <cell r="Z56">
            <v>7560000</v>
          </cell>
          <cell r="AA56">
            <v>7280000</v>
          </cell>
          <cell r="AB56">
            <v>0</v>
          </cell>
          <cell r="AC56">
            <v>0</v>
          </cell>
          <cell r="AD56">
            <v>7280000</v>
          </cell>
          <cell r="AF56">
            <v>350000</v>
          </cell>
          <cell r="AH56">
            <v>2216802.0000000005</v>
          </cell>
          <cell r="AI56">
            <v>0</v>
          </cell>
          <cell r="AJ56">
            <v>0</v>
          </cell>
          <cell r="AK56">
            <v>0</v>
          </cell>
          <cell r="AL56">
            <v>393333.33333333331</v>
          </cell>
          <cell r="AN56">
            <v>0</v>
          </cell>
          <cell r="AP56">
            <v>0</v>
          </cell>
          <cell r="AQ56">
            <v>10240135</v>
          </cell>
          <cell r="AR56">
            <v>10240135</v>
          </cell>
          <cell r="AS56">
            <v>557550</v>
          </cell>
          <cell r="AT56">
            <v>1141650</v>
          </cell>
          <cell r="AU56">
            <v>26550</v>
          </cell>
          <cell r="AV56">
            <v>106200</v>
          </cell>
          <cell r="AW56">
            <v>15500000</v>
          </cell>
          <cell r="AX56">
            <v>8096802</v>
          </cell>
          <cell r="AY56">
            <v>0</v>
          </cell>
          <cell r="AZ56">
            <v>0</v>
          </cell>
          <cell r="BC56">
            <v>584100</v>
          </cell>
          <cell r="BE56">
            <v>9656035</v>
          </cell>
          <cell r="BF56">
            <v>9656035</v>
          </cell>
          <cell r="BG56" t="str">
            <v>CK</v>
          </cell>
          <cell r="BH56">
            <v>8833210913</v>
          </cell>
          <cell r="BI56" t="str">
            <v>BIDV</v>
          </cell>
        </row>
        <row r="57">
          <cell r="C57" t="str">
            <v>VB00700</v>
          </cell>
          <cell r="D57" t="str">
            <v>PHAN QUÝ QUYẾT</v>
          </cell>
          <cell r="E57" t="str">
            <v>NVBH</v>
          </cell>
          <cell r="F57" t="str">
            <v>Sơ cấp</v>
          </cell>
          <cell r="G57">
            <v>46171</v>
          </cell>
          <cell r="H57">
            <v>46233</v>
          </cell>
          <cell r="I57">
            <v>0</v>
          </cell>
          <cell r="J57" t="str">
            <v>Thử việc</v>
          </cell>
          <cell r="K57">
            <v>27</v>
          </cell>
          <cell r="L57">
            <v>0</v>
          </cell>
          <cell r="M57">
            <v>25.5625</v>
          </cell>
          <cell r="N57">
            <v>24</v>
          </cell>
          <cell r="O57">
            <v>0</v>
          </cell>
          <cell r="P57">
            <v>0</v>
          </cell>
          <cell r="Q57">
            <v>7</v>
          </cell>
          <cell r="R57">
            <v>0</v>
          </cell>
          <cell r="S57">
            <v>0</v>
          </cell>
          <cell r="T57">
            <v>25.5625</v>
          </cell>
          <cell r="U57">
            <v>5310000</v>
          </cell>
          <cell r="V57">
            <v>700000</v>
          </cell>
          <cell r="W57">
            <v>350000</v>
          </cell>
          <cell r="X57">
            <v>500000</v>
          </cell>
          <cell r="Z57">
            <v>6860000</v>
          </cell>
          <cell r="AA57">
            <v>0</v>
          </cell>
          <cell r="AB57">
            <v>5520553.2407407407</v>
          </cell>
          <cell r="AD57">
            <v>5520553.2407407407</v>
          </cell>
          <cell r="AF57">
            <v>0</v>
          </cell>
          <cell r="AH57">
            <v>1957872.0000000002</v>
          </cell>
          <cell r="AI57">
            <v>885000</v>
          </cell>
          <cell r="AJ57">
            <v>0</v>
          </cell>
          <cell r="AK57">
            <v>0</v>
          </cell>
          <cell r="AL57">
            <v>344166.66666666663</v>
          </cell>
          <cell r="AN57">
            <v>0</v>
          </cell>
          <cell r="AP57">
            <v>0</v>
          </cell>
          <cell r="AQ57">
            <v>8707592</v>
          </cell>
          <cell r="AR57">
            <v>8707592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15500000</v>
          </cell>
          <cell r="AX57">
            <v>8707592</v>
          </cell>
          <cell r="AY57">
            <v>7374186.6851851847</v>
          </cell>
          <cell r="AZ57">
            <v>737418.66851851856</v>
          </cell>
          <cell r="BB57">
            <v>700000</v>
          </cell>
          <cell r="BC57">
            <v>1437418.6685185186</v>
          </cell>
          <cell r="BE57">
            <v>7270173</v>
          </cell>
          <cell r="BF57">
            <v>7270173</v>
          </cell>
          <cell r="BG57" t="str">
            <v>CK</v>
          </cell>
          <cell r="BH57">
            <v>8829103952</v>
          </cell>
          <cell r="BI57">
            <v>0</v>
          </cell>
        </row>
        <row r="58">
          <cell r="K58">
            <v>216</v>
          </cell>
          <cell r="L58">
            <v>182</v>
          </cell>
          <cell r="M58">
            <v>25.5625</v>
          </cell>
          <cell r="N58">
            <v>99</v>
          </cell>
          <cell r="O58">
            <v>0</v>
          </cell>
          <cell r="P58">
            <v>0</v>
          </cell>
          <cell r="Q58">
            <v>49</v>
          </cell>
          <cell r="R58">
            <v>0</v>
          </cell>
          <cell r="S58">
            <v>0</v>
          </cell>
          <cell r="T58">
            <v>207.5625</v>
          </cell>
          <cell r="U58">
            <v>43030000</v>
          </cell>
          <cell r="V58">
            <v>5600000</v>
          </cell>
          <cell r="W58">
            <v>7650000</v>
          </cell>
          <cell r="X58">
            <v>5600000</v>
          </cell>
          <cell r="Y58">
            <v>2800000</v>
          </cell>
          <cell r="Z58">
            <v>64680000</v>
          </cell>
          <cell r="AA58">
            <v>55678518.518518522</v>
          </cell>
          <cell r="AB58">
            <v>5520553.2407407407</v>
          </cell>
          <cell r="AC58">
            <v>0</v>
          </cell>
          <cell r="AD58">
            <v>61199071.759259261</v>
          </cell>
          <cell r="AE58">
            <v>0</v>
          </cell>
          <cell r="AF58">
            <v>2450000</v>
          </cell>
          <cell r="AG58">
            <v>0</v>
          </cell>
          <cell r="AH58">
            <v>21840644</v>
          </cell>
          <cell r="AI58">
            <v>3688819.4444444445</v>
          </cell>
          <cell r="AJ58">
            <v>0</v>
          </cell>
          <cell r="AK58">
            <v>0</v>
          </cell>
          <cell r="AL58">
            <v>2424444.444444444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91602979</v>
          </cell>
          <cell r="AR58">
            <v>91602979</v>
          </cell>
          <cell r="AS58">
            <v>3960600</v>
          </cell>
          <cell r="AT58">
            <v>8109800</v>
          </cell>
          <cell r="AU58">
            <v>188600</v>
          </cell>
          <cell r="AV58">
            <v>754400</v>
          </cell>
          <cell r="AW58">
            <v>130200000</v>
          </cell>
          <cell r="AX58">
            <v>71718882</v>
          </cell>
          <cell r="AY58">
            <v>7374186.6851851847</v>
          </cell>
          <cell r="AZ58">
            <v>1577537.4685185186</v>
          </cell>
          <cell r="BA58">
            <v>0</v>
          </cell>
          <cell r="BB58">
            <v>700000</v>
          </cell>
          <cell r="BC58">
            <v>6426737.4685185179</v>
          </cell>
          <cell r="BD58">
            <v>0</v>
          </cell>
          <cell r="BE58">
            <v>85176241</v>
          </cell>
          <cell r="BF58">
            <v>85176241</v>
          </cell>
          <cell r="BG58">
            <v>0</v>
          </cell>
        </row>
        <row r="59">
          <cell r="C59" t="str">
            <v>VB00621</v>
          </cell>
          <cell r="D59" t="str">
            <v>PHẠM HẢI THIÊN</v>
          </cell>
          <cell r="E59" t="str">
            <v>NVBH</v>
          </cell>
          <cell r="F59" t="str">
            <v>Sơ cấp</v>
          </cell>
          <cell r="G59">
            <v>45934</v>
          </cell>
          <cell r="H59">
            <v>45995</v>
          </cell>
          <cell r="I59">
            <v>0</v>
          </cell>
          <cell r="J59" t="str">
            <v>Chính thức</v>
          </cell>
          <cell r="K59">
            <v>27</v>
          </cell>
          <cell r="L59">
            <v>26</v>
          </cell>
          <cell r="M59">
            <v>0</v>
          </cell>
          <cell r="N59">
            <v>6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26</v>
          </cell>
          <cell r="U59">
            <v>5310000</v>
          </cell>
          <cell r="V59">
            <v>700000</v>
          </cell>
          <cell r="W59">
            <v>150000</v>
          </cell>
          <cell r="X59">
            <v>500000</v>
          </cell>
          <cell r="Y59">
            <v>0</v>
          </cell>
          <cell r="Z59">
            <v>6660000</v>
          </cell>
          <cell r="AA59">
            <v>6413333.333333333</v>
          </cell>
          <cell r="AB59">
            <v>0</v>
          </cell>
          <cell r="AC59">
            <v>0</v>
          </cell>
          <cell r="AD59">
            <v>6413333.333333333</v>
          </cell>
          <cell r="AF59">
            <v>350000</v>
          </cell>
          <cell r="AH59">
            <v>1981710.6666666667</v>
          </cell>
          <cell r="AI59">
            <v>221250</v>
          </cell>
          <cell r="AJ59">
            <v>0</v>
          </cell>
          <cell r="AK59">
            <v>0</v>
          </cell>
          <cell r="AL59">
            <v>0</v>
          </cell>
          <cell r="AN59">
            <v>0</v>
          </cell>
          <cell r="AP59">
            <v>0</v>
          </cell>
          <cell r="AQ59">
            <v>8966294</v>
          </cell>
          <cell r="AR59">
            <v>8966294</v>
          </cell>
          <cell r="AS59">
            <v>557550</v>
          </cell>
          <cell r="AT59">
            <v>1141650</v>
          </cell>
          <cell r="AU59">
            <v>26550</v>
          </cell>
          <cell r="AV59">
            <v>106200</v>
          </cell>
          <cell r="AW59">
            <v>15500000</v>
          </cell>
          <cell r="AX59">
            <v>7895044</v>
          </cell>
          <cell r="AY59">
            <v>0</v>
          </cell>
          <cell r="AZ59">
            <v>0</v>
          </cell>
          <cell r="BC59">
            <v>584100</v>
          </cell>
          <cell r="BE59">
            <v>8382194</v>
          </cell>
          <cell r="BF59">
            <v>8382194</v>
          </cell>
          <cell r="BG59" t="str">
            <v>CK</v>
          </cell>
          <cell r="BH59">
            <v>8807013300</v>
          </cell>
          <cell r="BI59" t="str">
            <v>BIDV</v>
          </cell>
        </row>
        <row r="60">
          <cell r="C60" t="str">
            <v>VB00417</v>
          </cell>
          <cell r="D60" t="str">
            <v>ĐỖ VŨ THỤC OANH</v>
          </cell>
          <cell r="E60" t="str">
            <v>CHT</v>
          </cell>
          <cell r="F60" t="str">
            <v>Cao cấp</v>
          </cell>
          <cell r="G60">
            <v>45466</v>
          </cell>
          <cell r="H60">
            <v>45527</v>
          </cell>
          <cell r="I60">
            <v>2</v>
          </cell>
          <cell r="J60" t="str">
            <v>Chính thức</v>
          </cell>
          <cell r="K60">
            <v>27</v>
          </cell>
          <cell r="L60">
            <v>26</v>
          </cell>
          <cell r="M60">
            <v>0</v>
          </cell>
          <cell r="N60">
            <v>22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26</v>
          </cell>
          <cell r="U60">
            <v>5860000</v>
          </cell>
          <cell r="V60">
            <v>700000</v>
          </cell>
          <cell r="W60">
            <v>1500000</v>
          </cell>
          <cell r="X60">
            <v>800000</v>
          </cell>
          <cell r="Y60">
            <v>400000</v>
          </cell>
          <cell r="Z60">
            <v>9260000</v>
          </cell>
          <cell r="AA60">
            <v>8917037.0370370373</v>
          </cell>
          <cell r="AB60">
            <v>0</v>
          </cell>
          <cell r="AC60">
            <v>0</v>
          </cell>
          <cell r="AD60">
            <v>8917037.0370370373</v>
          </cell>
          <cell r="AF60">
            <v>350000</v>
          </cell>
          <cell r="AH60">
            <v>5240882.1583333332</v>
          </cell>
          <cell r="AI60">
            <v>895277.77777777787</v>
          </cell>
          <cell r="AJ60">
            <v>0</v>
          </cell>
          <cell r="AK60">
            <v>0</v>
          </cell>
          <cell r="AL60">
            <v>0</v>
          </cell>
          <cell r="AN60">
            <v>0</v>
          </cell>
          <cell r="AP60">
            <v>0</v>
          </cell>
          <cell r="AQ60">
            <v>15403197</v>
          </cell>
          <cell r="AR60">
            <v>15403197</v>
          </cell>
          <cell r="AS60">
            <v>615300</v>
          </cell>
          <cell r="AT60">
            <v>1259900</v>
          </cell>
          <cell r="AU60">
            <v>29300</v>
          </cell>
          <cell r="AV60">
            <v>117200</v>
          </cell>
          <cell r="AW60">
            <v>15500000</v>
          </cell>
          <cell r="AX60">
            <v>11907919</v>
          </cell>
          <cell r="AY60">
            <v>0</v>
          </cell>
          <cell r="AZ60">
            <v>0</v>
          </cell>
          <cell r="BC60">
            <v>644600</v>
          </cell>
          <cell r="BE60">
            <v>14758597</v>
          </cell>
          <cell r="BF60">
            <v>14758597</v>
          </cell>
          <cell r="BG60" t="str">
            <v>CK</v>
          </cell>
          <cell r="BH60">
            <v>2124221472</v>
          </cell>
          <cell r="BI60" t="str">
            <v>BIDV</v>
          </cell>
        </row>
        <row r="61">
          <cell r="C61" t="str">
            <v>VB00660</v>
          </cell>
          <cell r="D61" t="str">
            <v>PHAN HỒNG THUỶ</v>
          </cell>
          <cell r="E61" t="str">
            <v xml:space="preserve">NVBH </v>
          </cell>
          <cell r="F61" t="str">
            <v>Sơ cấp</v>
          </cell>
          <cell r="G61">
            <v>46083</v>
          </cell>
          <cell r="H61">
            <v>46144</v>
          </cell>
          <cell r="I61">
            <v>0</v>
          </cell>
          <cell r="J61" t="str">
            <v>Chính thức</v>
          </cell>
          <cell r="K61">
            <v>27</v>
          </cell>
          <cell r="L61">
            <v>26</v>
          </cell>
          <cell r="M61">
            <v>0</v>
          </cell>
          <cell r="N61">
            <v>14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26</v>
          </cell>
          <cell r="U61">
            <v>5310000</v>
          </cell>
          <cell r="V61">
            <v>700000</v>
          </cell>
          <cell r="W61">
            <v>150000</v>
          </cell>
          <cell r="X61">
            <v>500000</v>
          </cell>
          <cell r="Z61">
            <v>6660000</v>
          </cell>
          <cell r="AA61">
            <v>6413333.333333333</v>
          </cell>
          <cell r="AB61">
            <v>0</v>
          </cell>
          <cell r="AC61">
            <v>0</v>
          </cell>
          <cell r="AD61">
            <v>6413333.333333333</v>
          </cell>
          <cell r="AF61">
            <v>350000</v>
          </cell>
          <cell r="AH61">
            <v>2475382.5209999997</v>
          </cell>
          <cell r="AI61">
            <v>516249.99999999994</v>
          </cell>
          <cell r="AJ61">
            <v>0</v>
          </cell>
          <cell r="AK61">
            <v>0</v>
          </cell>
          <cell r="AL61">
            <v>0</v>
          </cell>
          <cell r="AN61">
            <v>0</v>
          </cell>
          <cell r="AP61">
            <v>0</v>
          </cell>
          <cell r="AQ61">
            <v>9754966</v>
          </cell>
          <cell r="AR61">
            <v>9754966</v>
          </cell>
          <cell r="AS61">
            <v>557550</v>
          </cell>
          <cell r="AT61">
            <v>1141650</v>
          </cell>
          <cell r="AU61">
            <v>26550</v>
          </cell>
          <cell r="AV61">
            <v>106200</v>
          </cell>
          <cell r="AW61">
            <v>15500000</v>
          </cell>
          <cell r="AX61">
            <v>8388716</v>
          </cell>
          <cell r="AY61">
            <v>0</v>
          </cell>
          <cell r="AZ61">
            <v>0</v>
          </cell>
          <cell r="BC61">
            <v>584100</v>
          </cell>
          <cell r="BE61">
            <v>9170866</v>
          </cell>
          <cell r="BF61">
            <v>9170866</v>
          </cell>
          <cell r="BG61" t="str">
            <v>CK</v>
          </cell>
          <cell r="BH61">
            <v>8898379062</v>
          </cell>
          <cell r="BI61" t="str">
            <v>BIDV</v>
          </cell>
        </row>
        <row r="62">
          <cell r="C62" t="str">
            <v>VB00674</v>
          </cell>
          <cell r="D62" t="str">
            <v>DƯƠNG HOÀI ĐỨC</v>
          </cell>
          <cell r="E62" t="str">
            <v xml:space="preserve">NVBH </v>
          </cell>
          <cell r="F62" t="str">
            <v>Sơ cấp</v>
          </cell>
          <cell r="G62">
            <v>46113</v>
          </cell>
          <cell r="H62">
            <v>46174</v>
          </cell>
          <cell r="I62">
            <v>0</v>
          </cell>
          <cell r="J62" t="str">
            <v>Chính thức</v>
          </cell>
          <cell r="K62">
            <v>27</v>
          </cell>
          <cell r="L62">
            <v>26</v>
          </cell>
          <cell r="M62">
            <v>0</v>
          </cell>
          <cell r="N62">
            <v>12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26</v>
          </cell>
          <cell r="U62">
            <v>5310000</v>
          </cell>
          <cell r="V62">
            <v>700000</v>
          </cell>
          <cell r="W62">
            <v>150000</v>
          </cell>
          <cell r="X62">
            <v>500000</v>
          </cell>
          <cell r="Z62">
            <v>6660000</v>
          </cell>
          <cell r="AA62">
            <v>6413333.333333333</v>
          </cell>
          <cell r="AB62">
            <v>0</v>
          </cell>
          <cell r="AC62">
            <v>0</v>
          </cell>
          <cell r="AD62">
            <v>6413333.333333333</v>
          </cell>
          <cell r="AF62">
            <v>350000</v>
          </cell>
          <cell r="AH62">
            <v>1777015.7956666667</v>
          </cell>
          <cell r="AI62">
            <v>442500</v>
          </cell>
          <cell r="AJ62">
            <v>0</v>
          </cell>
          <cell r="AK62">
            <v>0</v>
          </cell>
          <cell r="AL62">
            <v>0</v>
          </cell>
          <cell r="AN62">
            <v>0</v>
          </cell>
          <cell r="AP62">
            <v>0</v>
          </cell>
          <cell r="AQ62">
            <v>8982849</v>
          </cell>
          <cell r="AR62">
            <v>8982849</v>
          </cell>
          <cell r="AS62">
            <v>557550</v>
          </cell>
          <cell r="AT62">
            <v>1141650</v>
          </cell>
          <cell r="AU62">
            <v>26550</v>
          </cell>
          <cell r="AV62">
            <v>106200</v>
          </cell>
          <cell r="AW62">
            <v>15500000</v>
          </cell>
          <cell r="AX62">
            <v>7690349</v>
          </cell>
          <cell r="AY62">
            <v>0</v>
          </cell>
          <cell r="AZ62">
            <v>0</v>
          </cell>
          <cell r="BC62">
            <v>584100</v>
          </cell>
          <cell r="BE62">
            <v>8398749</v>
          </cell>
          <cell r="BF62">
            <v>8398749</v>
          </cell>
          <cell r="BG62" t="str">
            <v>CK</v>
          </cell>
          <cell r="BH62">
            <v>8897399911</v>
          </cell>
          <cell r="BI62" t="str">
            <v>BIDV</v>
          </cell>
        </row>
        <row r="63">
          <cell r="C63" t="str">
            <v>VB00678</v>
          </cell>
          <cell r="D63" t="str">
            <v>PHẠM THỊ THU THẢO</v>
          </cell>
          <cell r="E63" t="str">
            <v xml:space="preserve">NVBH </v>
          </cell>
          <cell r="F63" t="str">
            <v>Sơ cấp</v>
          </cell>
          <cell r="G63">
            <v>46116</v>
          </cell>
          <cell r="H63">
            <v>46177</v>
          </cell>
          <cell r="I63">
            <v>0</v>
          </cell>
          <cell r="J63" t="str">
            <v>Chính thức</v>
          </cell>
          <cell r="K63">
            <v>27</v>
          </cell>
          <cell r="L63">
            <v>24</v>
          </cell>
          <cell r="M63">
            <v>2</v>
          </cell>
          <cell r="N63">
            <v>11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26</v>
          </cell>
          <cell r="U63">
            <v>5310000</v>
          </cell>
          <cell r="V63">
            <v>700000</v>
          </cell>
          <cell r="W63">
            <v>150000</v>
          </cell>
          <cell r="X63">
            <v>500000</v>
          </cell>
          <cell r="Z63">
            <v>6660000</v>
          </cell>
          <cell r="AA63">
            <v>5920000</v>
          </cell>
          <cell r="AB63">
            <v>419333.33333333331</v>
          </cell>
          <cell r="AC63">
            <v>0</v>
          </cell>
          <cell r="AD63">
            <v>6339333.333333333</v>
          </cell>
          <cell r="AF63">
            <v>350000</v>
          </cell>
          <cell r="AH63">
            <v>2173162.6666666665</v>
          </cell>
          <cell r="AI63">
            <v>405624.99999999994</v>
          </cell>
          <cell r="AJ63">
            <v>0</v>
          </cell>
          <cell r="AK63">
            <v>0</v>
          </cell>
          <cell r="AL63">
            <v>0</v>
          </cell>
          <cell r="AN63">
            <v>0</v>
          </cell>
          <cell r="AP63">
            <v>0</v>
          </cell>
          <cell r="AQ63">
            <v>9268121</v>
          </cell>
          <cell r="AR63">
            <v>9268121</v>
          </cell>
          <cell r="AS63">
            <v>557550</v>
          </cell>
          <cell r="AT63">
            <v>1141650</v>
          </cell>
          <cell r="AU63">
            <v>26550</v>
          </cell>
          <cell r="AV63">
            <v>106200</v>
          </cell>
          <cell r="AW63">
            <v>15500000</v>
          </cell>
          <cell r="AX63">
            <v>8012496</v>
          </cell>
          <cell r="AY63">
            <v>0</v>
          </cell>
          <cell r="AZ63">
            <v>0</v>
          </cell>
          <cell r="BC63">
            <v>584100</v>
          </cell>
          <cell r="BE63">
            <v>8684021</v>
          </cell>
          <cell r="BF63">
            <v>8684021</v>
          </cell>
          <cell r="BG63" t="str">
            <v>CK</v>
          </cell>
          <cell r="BH63">
            <v>8858753230</v>
          </cell>
          <cell r="BI63" t="str">
            <v>BIDV</v>
          </cell>
        </row>
        <row r="64">
          <cell r="C64" t="str">
            <v>VB00679</v>
          </cell>
          <cell r="D64" t="str">
            <v>LÊ THỊ THIÊN KIỀU</v>
          </cell>
          <cell r="E64" t="str">
            <v xml:space="preserve">NVBH </v>
          </cell>
          <cell r="F64" t="str">
            <v>Sơ cấp</v>
          </cell>
          <cell r="G64">
            <v>46118</v>
          </cell>
          <cell r="H64">
            <v>46179</v>
          </cell>
          <cell r="I64">
            <v>0</v>
          </cell>
          <cell r="J64" t="str">
            <v>Chính thức</v>
          </cell>
          <cell r="K64">
            <v>27</v>
          </cell>
          <cell r="L64">
            <v>22</v>
          </cell>
          <cell r="M64">
            <v>4</v>
          </cell>
          <cell r="N64">
            <v>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26</v>
          </cell>
          <cell r="U64">
            <v>5310000</v>
          </cell>
          <cell r="V64">
            <v>700000</v>
          </cell>
          <cell r="W64">
            <v>150000</v>
          </cell>
          <cell r="X64">
            <v>500000</v>
          </cell>
          <cell r="Z64">
            <v>6660000</v>
          </cell>
          <cell r="AA64">
            <v>5426666.666666666</v>
          </cell>
          <cell r="AB64">
            <v>838666.66666666663</v>
          </cell>
          <cell r="AC64">
            <v>0</v>
          </cell>
          <cell r="AD64">
            <v>6265333.333333333</v>
          </cell>
          <cell r="AF64">
            <v>350000</v>
          </cell>
          <cell r="AH64">
            <v>2074492.6666666665</v>
          </cell>
          <cell r="AI64">
            <v>221250</v>
          </cell>
          <cell r="AJ64">
            <v>0</v>
          </cell>
          <cell r="AK64">
            <v>0</v>
          </cell>
          <cell r="AL64">
            <v>0</v>
          </cell>
          <cell r="AN64">
            <v>0</v>
          </cell>
          <cell r="AP64">
            <v>0</v>
          </cell>
          <cell r="AQ64">
            <v>8911076</v>
          </cell>
          <cell r="AR64">
            <v>8911076</v>
          </cell>
          <cell r="AS64">
            <v>557550</v>
          </cell>
          <cell r="AT64">
            <v>1141650</v>
          </cell>
          <cell r="AU64">
            <v>26550</v>
          </cell>
          <cell r="AV64">
            <v>106200</v>
          </cell>
          <cell r="AW64">
            <v>15500000</v>
          </cell>
          <cell r="AX64">
            <v>7839826</v>
          </cell>
          <cell r="AY64">
            <v>0</v>
          </cell>
          <cell r="AZ64">
            <v>0</v>
          </cell>
          <cell r="BC64">
            <v>584100</v>
          </cell>
          <cell r="BE64">
            <v>8326976</v>
          </cell>
          <cell r="BF64">
            <v>8326976</v>
          </cell>
          <cell r="BG64" t="str">
            <v>CK</v>
          </cell>
          <cell r="BH64">
            <v>8858731438</v>
          </cell>
          <cell r="BI64" t="str">
            <v>BIDV</v>
          </cell>
        </row>
        <row r="65">
          <cell r="K65">
            <v>162</v>
          </cell>
          <cell r="L65">
            <v>150</v>
          </cell>
          <cell r="M65">
            <v>6</v>
          </cell>
          <cell r="N65">
            <v>71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156</v>
          </cell>
          <cell r="U65">
            <v>32410000</v>
          </cell>
          <cell r="V65">
            <v>4200000</v>
          </cell>
          <cell r="W65">
            <v>2250000</v>
          </cell>
          <cell r="X65">
            <v>3300000</v>
          </cell>
          <cell r="Y65">
            <v>400000</v>
          </cell>
          <cell r="Z65">
            <v>42560000</v>
          </cell>
          <cell r="AA65">
            <v>39503703.703703694</v>
          </cell>
          <cell r="AB65">
            <v>1258000</v>
          </cell>
          <cell r="AC65">
            <v>0</v>
          </cell>
          <cell r="AD65">
            <v>40761703.703703701</v>
          </cell>
          <cell r="AE65">
            <v>0</v>
          </cell>
          <cell r="AF65">
            <v>2100000</v>
          </cell>
          <cell r="AG65">
            <v>0</v>
          </cell>
          <cell r="AH65">
            <v>15722646.475</v>
          </cell>
          <cell r="AI65">
            <v>2702152.777777778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61286503</v>
          </cell>
          <cell r="AR65">
            <v>61286503</v>
          </cell>
          <cell r="AS65">
            <v>3403050</v>
          </cell>
          <cell r="AT65">
            <v>6968150</v>
          </cell>
          <cell r="AU65">
            <v>162050</v>
          </cell>
          <cell r="AV65">
            <v>648200</v>
          </cell>
          <cell r="AW65">
            <v>93000000</v>
          </cell>
          <cell r="AX65">
            <v>51734350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3565100</v>
          </cell>
          <cell r="BD65">
            <v>0</v>
          </cell>
          <cell r="BE65">
            <v>57721403</v>
          </cell>
          <cell r="BF65">
            <v>57721403</v>
          </cell>
          <cell r="BG65">
            <v>0</v>
          </cell>
          <cell r="BK65">
            <v>0</v>
          </cell>
        </row>
        <row r="66">
          <cell r="C66" t="str">
            <v>VB00106</v>
          </cell>
          <cell r="D66" t="str">
            <v>TRẦN THỊ HẬU</v>
          </cell>
          <cell r="E66" t="str">
            <v>CHT</v>
          </cell>
          <cell r="F66" t="str">
            <v>Trung cấp</v>
          </cell>
          <cell r="G66">
            <v>44396</v>
          </cell>
          <cell r="H66">
            <v>44468</v>
          </cell>
          <cell r="I66">
            <v>5</v>
          </cell>
          <cell r="J66" t="str">
            <v>Chính thức</v>
          </cell>
          <cell r="K66">
            <v>27</v>
          </cell>
          <cell r="L66">
            <v>26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T66">
            <v>26</v>
          </cell>
          <cell r="U66">
            <v>5860000</v>
          </cell>
          <cell r="V66">
            <v>700000</v>
          </cell>
          <cell r="W66">
            <v>800000</v>
          </cell>
          <cell r="X66">
            <v>0</v>
          </cell>
          <cell r="Y66">
            <v>400000</v>
          </cell>
          <cell r="Z66">
            <v>7760000</v>
          </cell>
          <cell r="AA66">
            <v>7472592.5925925933</v>
          </cell>
          <cell r="AB66">
            <v>0</v>
          </cell>
          <cell r="AC66">
            <v>0</v>
          </cell>
          <cell r="AD66">
            <v>7472592.5925925933</v>
          </cell>
          <cell r="AF66">
            <v>350000</v>
          </cell>
          <cell r="AH66">
            <v>1266768.3333333335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N66">
            <v>0</v>
          </cell>
          <cell r="AP66">
            <v>0</v>
          </cell>
          <cell r="AQ66">
            <v>9089361</v>
          </cell>
          <cell r="AR66">
            <v>9089361</v>
          </cell>
          <cell r="AS66">
            <v>615300</v>
          </cell>
          <cell r="AT66">
            <v>1259900</v>
          </cell>
          <cell r="AU66">
            <v>29300</v>
          </cell>
          <cell r="AV66">
            <v>117200</v>
          </cell>
          <cell r="AW66">
            <v>15500000</v>
          </cell>
          <cell r="AX66">
            <v>7189361</v>
          </cell>
          <cell r="AY66">
            <v>0</v>
          </cell>
          <cell r="AZ66">
            <v>0</v>
          </cell>
          <cell r="BC66">
            <v>644600</v>
          </cell>
          <cell r="BE66">
            <v>8444761</v>
          </cell>
          <cell r="BF66">
            <v>8444761</v>
          </cell>
          <cell r="BG66" t="str">
            <v>CK</v>
          </cell>
          <cell r="BH66" t="str">
            <v>5601099085</v>
          </cell>
          <cell r="BI66" t="str">
            <v>Ngân hàng TMCP Đầu tư và Phát triển  Việt Nam (BIDV)</v>
          </cell>
        </row>
        <row r="67">
          <cell r="C67" t="str">
            <v>VB00109</v>
          </cell>
          <cell r="D67" t="str">
            <v xml:space="preserve">NGÔ DUY TUẤN </v>
          </cell>
          <cell r="E67" t="str">
            <v>NVBH</v>
          </cell>
          <cell r="F67" t="str">
            <v>Cao cấp</v>
          </cell>
          <cell r="G67">
            <v>44396</v>
          </cell>
          <cell r="H67">
            <v>44468</v>
          </cell>
          <cell r="I67">
            <v>5</v>
          </cell>
          <cell r="J67" t="str">
            <v>Chính thức</v>
          </cell>
          <cell r="K67">
            <v>27</v>
          </cell>
          <cell r="L67">
            <v>26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26</v>
          </cell>
          <cell r="U67">
            <v>5310000</v>
          </cell>
          <cell r="V67">
            <v>700000</v>
          </cell>
          <cell r="W67">
            <v>0</v>
          </cell>
          <cell r="X67">
            <v>0</v>
          </cell>
          <cell r="Y67">
            <v>300000</v>
          </cell>
          <cell r="Z67">
            <v>6310000</v>
          </cell>
          <cell r="AA67">
            <v>6076296.2962962966</v>
          </cell>
          <cell r="AB67">
            <v>0</v>
          </cell>
          <cell r="AC67">
            <v>0</v>
          </cell>
          <cell r="AD67">
            <v>6076296.2962962966</v>
          </cell>
          <cell r="AF67">
            <v>350000</v>
          </cell>
          <cell r="AH67">
            <v>1086784.6666666667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N67">
            <v>0</v>
          </cell>
          <cell r="AP67">
            <v>0</v>
          </cell>
          <cell r="AQ67">
            <v>7513081</v>
          </cell>
          <cell r="AR67">
            <v>7513081</v>
          </cell>
          <cell r="AS67">
            <v>557550</v>
          </cell>
          <cell r="AT67">
            <v>1141650</v>
          </cell>
          <cell r="AU67">
            <v>26550</v>
          </cell>
          <cell r="AV67">
            <v>106200</v>
          </cell>
          <cell r="AW67">
            <v>15500000</v>
          </cell>
          <cell r="AX67">
            <v>6513081</v>
          </cell>
          <cell r="AY67">
            <v>0</v>
          </cell>
          <cell r="AZ67">
            <v>0</v>
          </cell>
          <cell r="BC67">
            <v>584100</v>
          </cell>
          <cell r="BE67">
            <v>6928981</v>
          </cell>
          <cell r="BF67">
            <v>6928981</v>
          </cell>
          <cell r="BG67" t="str">
            <v>CK</v>
          </cell>
          <cell r="BH67" t="str">
            <v>5601099164</v>
          </cell>
          <cell r="BI67" t="str">
            <v>Ngân hàng TMCP Đầu tư và Phát triển  Việt Nam (BIDV)</v>
          </cell>
        </row>
        <row r="68">
          <cell r="C68" t="str">
            <v>VB00107</v>
          </cell>
          <cell r="D68" t="str">
            <v>LÊ THỊ PHƯƠNG</v>
          </cell>
          <cell r="E68" t="str">
            <v>NVBH</v>
          </cell>
          <cell r="F68" t="str">
            <v>Trung cấp</v>
          </cell>
          <cell r="G68">
            <v>44396</v>
          </cell>
          <cell r="H68">
            <v>44468</v>
          </cell>
          <cell r="I68">
            <v>5</v>
          </cell>
          <cell r="J68" t="str">
            <v>Chính thức</v>
          </cell>
          <cell r="K68">
            <v>27</v>
          </cell>
          <cell r="L68">
            <v>26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T68">
            <v>26</v>
          </cell>
          <cell r="U68">
            <v>5310000</v>
          </cell>
          <cell r="V68">
            <v>700000</v>
          </cell>
          <cell r="W68">
            <v>200000</v>
          </cell>
          <cell r="X68">
            <v>0</v>
          </cell>
          <cell r="Y68">
            <v>0</v>
          </cell>
          <cell r="Z68">
            <v>6210000</v>
          </cell>
          <cell r="AA68">
            <v>5980000</v>
          </cell>
          <cell r="AB68">
            <v>0</v>
          </cell>
          <cell r="AC68">
            <v>0</v>
          </cell>
          <cell r="AD68">
            <v>5980000</v>
          </cell>
          <cell r="AF68">
            <v>350000</v>
          </cell>
          <cell r="AH68">
            <v>926182.66666666663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N68">
            <v>0</v>
          </cell>
          <cell r="AP68">
            <v>0</v>
          </cell>
          <cell r="AQ68">
            <v>7256183</v>
          </cell>
          <cell r="AR68">
            <v>7256183</v>
          </cell>
          <cell r="AS68">
            <v>557550</v>
          </cell>
          <cell r="AT68">
            <v>1141650</v>
          </cell>
          <cell r="AU68">
            <v>26550</v>
          </cell>
          <cell r="AV68">
            <v>106200</v>
          </cell>
          <cell r="AW68">
            <v>15500000</v>
          </cell>
          <cell r="AX68">
            <v>6356183</v>
          </cell>
          <cell r="AY68">
            <v>0</v>
          </cell>
          <cell r="AZ68">
            <v>0</v>
          </cell>
          <cell r="BC68">
            <v>584100</v>
          </cell>
          <cell r="BE68">
            <v>6672083</v>
          </cell>
          <cell r="BF68">
            <v>6672083</v>
          </cell>
          <cell r="BG68" t="str">
            <v>CK</v>
          </cell>
          <cell r="BH68" t="str">
            <v>5011677073</v>
          </cell>
          <cell r="BI68" t="str">
            <v>Ngân hàng TMCP Đầu tư và Phát triển  Việt Nam (BIDV)</v>
          </cell>
          <cell r="BJ68">
            <v>46280</v>
          </cell>
        </row>
        <row r="69">
          <cell r="C69" t="str">
            <v>VB00133</v>
          </cell>
          <cell r="D69" t="str">
            <v>NGÔ THỊ THÙY LINH</v>
          </cell>
          <cell r="E69" t="str">
            <v>NVBH</v>
          </cell>
          <cell r="F69" t="str">
            <v>Sơ cấp</v>
          </cell>
          <cell r="G69">
            <v>44487</v>
          </cell>
          <cell r="H69">
            <v>44548</v>
          </cell>
          <cell r="I69">
            <v>4</v>
          </cell>
          <cell r="J69" t="str">
            <v>Chính thức</v>
          </cell>
          <cell r="K69">
            <v>27</v>
          </cell>
          <cell r="L69">
            <v>26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26</v>
          </cell>
          <cell r="U69">
            <v>5310000</v>
          </cell>
          <cell r="V69">
            <v>700000</v>
          </cell>
          <cell r="W69">
            <v>100000</v>
          </cell>
          <cell r="X69">
            <v>0</v>
          </cell>
          <cell r="Y69">
            <v>0</v>
          </cell>
          <cell r="Z69">
            <v>6110000</v>
          </cell>
          <cell r="AA69">
            <v>5883703.7037037034</v>
          </cell>
          <cell r="AB69">
            <v>0</v>
          </cell>
          <cell r="AC69">
            <v>0</v>
          </cell>
          <cell r="AD69">
            <v>5883703.7037037034</v>
          </cell>
          <cell r="AF69">
            <v>350000</v>
          </cell>
          <cell r="AH69">
            <v>441959.99999999994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</v>
          </cell>
          <cell r="AP69">
            <v>0</v>
          </cell>
          <cell r="AQ69">
            <v>6675664</v>
          </cell>
          <cell r="AR69">
            <v>6675664</v>
          </cell>
          <cell r="AS69">
            <v>557550</v>
          </cell>
          <cell r="AT69">
            <v>1141650</v>
          </cell>
          <cell r="AU69">
            <v>26550</v>
          </cell>
          <cell r="AV69">
            <v>106200</v>
          </cell>
          <cell r="AW69">
            <v>15500000</v>
          </cell>
          <cell r="AX69">
            <v>5875664</v>
          </cell>
          <cell r="AY69">
            <v>0</v>
          </cell>
          <cell r="AZ69">
            <v>0</v>
          </cell>
          <cell r="BC69">
            <v>584100</v>
          </cell>
          <cell r="BE69">
            <v>6091564</v>
          </cell>
          <cell r="BF69">
            <v>6091564</v>
          </cell>
          <cell r="BG69" t="str">
            <v>CK</v>
          </cell>
          <cell r="BH69" t="str">
            <v>5020548632</v>
          </cell>
          <cell r="BI69" t="str">
            <v>BIDV CN Lam Sơn</v>
          </cell>
          <cell r="BJ69">
            <v>46265</v>
          </cell>
        </row>
        <row r="70">
          <cell r="K70">
            <v>108</v>
          </cell>
          <cell r="L70">
            <v>104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104</v>
          </cell>
          <cell r="U70">
            <v>21790000</v>
          </cell>
          <cell r="V70">
            <v>2800000</v>
          </cell>
          <cell r="W70">
            <v>1100000</v>
          </cell>
          <cell r="X70">
            <v>0</v>
          </cell>
          <cell r="Y70">
            <v>700000</v>
          </cell>
          <cell r="Z70">
            <v>26390000</v>
          </cell>
          <cell r="AA70">
            <v>25412592.59259259</v>
          </cell>
          <cell r="AB70">
            <v>0</v>
          </cell>
          <cell r="AC70">
            <v>0</v>
          </cell>
          <cell r="AD70">
            <v>25412592.59259259</v>
          </cell>
          <cell r="AE70">
            <v>0</v>
          </cell>
          <cell r="AF70">
            <v>1400000</v>
          </cell>
          <cell r="AG70">
            <v>0</v>
          </cell>
          <cell r="AH70">
            <v>3721695.6666666665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P70">
            <v>0</v>
          </cell>
          <cell r="AQ70">
            <v>30534289</v>
          </cell>
          <cell r="AR70">
            <v>30534289</v>
          </cell>
          <cell r="AS70">
            <v>2287950</v>
          </cell>
          <cell r="AT70">
            <v>4684850</v>
          </cell>
          <cell r="AU70">
            <v>108950</v>
          </cell>
          <cell r="AV70">
            <v>435800</v>
          </cell>
          <cell r="AW70">
            <v>62000000</v>
          </cell>
          <cell r="AX70">
            <v>25934289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2396900</v>
          </cell>
          <cell r="BD70">
            <v>0</v>
          </cell>
          <cell r="BE70">
            <v>28137389</v>
          </cell>
          <cell r="BF70">
            <v>28137389</v>
          </cell>
        </row>
        <row r="71">
          <cell r="C71" t="str">
            <v>VB00051</v>
          </cell>
          <cell r="D71" t="str">
            <v>TRƯƠNG VĂN THÀNH</v>
          </cell>
          <cell r="E71" t="str">
            <v>CHT</v>
          </cell>
          <cell r="F71" t="str">
            <v>Cao cấp</v>
          </cell>
          <cell r="G71">
            <v>44181</v>
          </cell>
          <cell r="H71">
            <v>44243</v>
          </cell>
          <cell r="I71">
            <v>5</v>
          </cell>
          <cell r="J71" t="str">
            <v>Chính thức</v>
          </cell>
          <cell r="K71">
            <v>27</v>
          </cell>
          <cell r="L71">
            <v>26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  <cell r="T71">
            <v>26</v>
          </cell>
          <cell r="U71">
            <v>5860000</v>
          </cell>
          <cell r="V71">
            <v>700000</v>
          </cell>
          <cell r="W71">
            <v>1000000</v>
          </cell>
          <cell r="X71">
            <v>300000</v>
          </cell>
          <cell r="Y71">
            <v>400000</v>
          </cell>
          <cell r="Z71">
            <v>8260000</v>
          </cell>
          <cell r="AA71">
            <v>7954074.0740740737</v>
          </cell>
          <cell r="AB71">
            <v>0</v>
          </cell>
          <cell r="AC71">
            <v>0</v>
          </cell>
          <cell r="AD71">
            <v>7954074.0740740737</v>
          </cell>
          <cell r="AF71">
            <v>350000</v>
          </cell>
          <cell r="AH71">
            <v>2671491.7277777782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N71">
            <v>0</v>
          </cell>
          <cell r="AP71">
            <v>0</v>
          </cell>
          <cell r="AQ71">
            <v>10975566</v>
          </cell>
          <cell r="AR71">
            <v>10975566</v>
          </cell>
          <cell r="AS71">
            <v>615300</v>
          </cell>
          <cell r="AT71">
            <v>1259900</v>
          </cell>
          <cell r="AU71">
            <v>29300</v>
          </cell>
          <cell r="AV71">
            <v>117200</v>
          </cell>
          <cell r="AW71">
            <v>15500000</v>
          </cell>
          <cell r="AX71">
            <v>8875566</v>
          </cell>
          <cell r="AY71">
            <v>0</v>
          </cell>
          <cell r="AZ71">
            <v>0</v>
          </cell>
          <cell r="BC71">
            <v>644600</v>
          </cell>
          <cell r="BE71">
            <v>10330966</v>
          </cell>
          <cell r="BF71">
            <v>10330966</v>
          </cell>
          <cell r="BG71" t="str">
            <v>CK</v>
          </cell>
          <cell r="BH71" t="str">
            <v>4711473495</v>
          </cell>
          <cell r="BI71" t="str">
            <v xml:space="preserve">Ngân hàng TMCP Đầu tư và Phát triển  Việt Nam (BIDV) </v>
          </cell>
        </row>
        <row r="72">
          <cell r="C72" t="str">
            <v>VB00390</v>
          </cell>
          <cell r="D72" t="str">
            <v>KHIẾU THỊ LAN ANH</v>
          </cell>
          <cell r="E72" t="str">
            <v>NVBH</v>
          </cell>
          <cell r="F72" t="str">
            <v>Trung cấp</v>
          </cell>
          <cell r="G72">
            <v>45376</v>
          </cell>
          <cell r="H72">
            <v>45437</v>
          </cell>
          <cell r="I72">
            <v>2</v>
          </cell>
          <cell r="J72" t="str">
            <v>Chính thức</v>
          </cell>
          <cell r="K72">
            <v>27</v>
          </cell>
          <cell r="L72">
            <v>26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T72">
            <v>26</v>
          </cell>
          <cell r="U72">
            <v>5310000</v>
          </cell>
          <cell r="V72">
            <v>700000</v>
          </cell>
          <cell r="W72">
            <v>200000</v>
          </cell>
          <cell r="X72">
            <v>0</v>
          </cell>
          <cell r="Y72">
            <v>0</v>
          </cell>
          <cell r="Z72">
            <v>6210000</v>
          </cell>
          <cell r="AA72">
            <v>5980000</v>
          </cell>
          <cell r="AB72">
            <v>0</v>
          </cell>
          <cell r="AC72">
            <v>0</v>
          </cell>
          <cell r="AD72">
            <v>5980000</v>
          </cell>
          <cell r="AF72">
            <v>350000</v>
          </cell>
          <cell r="AH72">
            <v>1610845.7555555552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0</v>
          </cell>
          <cell r="AP72">
            <v>0</v>
          </cell>
          <cell r="AQ72">
            <v>7940846</v>
          </cell>
          <cell r="AR72">
            <v>7940846</v>
          </cell>
          <cell r="AS72">
            <v>557550</v>
          </cell>
          <cell r="AT72">
            <v>1141650</v>
          </cell>
          <cell r="AU72">
            <v>26550</v>
          </cell>
          <cell r="AV72">
            <v>106200</v>
          </cell>
          <cell r="AW72">
            <v>15500000</v>
          </cell>
          <cell r="AX72">
            <v>7040846</v>
          </cell>
          <cell r="AY72">
            <v>0</v>
          </cell>
          <cell r="AZ72">
            <v>0</v>
          </cell>
          <cell r="BC72">
            <v>584100</v>
          </cell>
          <cell r="BE72">
            <v>7356746</v>
          </cell>
          <cell r="BF72">
            <v>7356746</v>
          </cell>
          <cell r="BG72" t="str">
            <v>CK</v>
          </cell>
          <cell r="BH72">
            <v>8861818836</v>
          </cell>
          <cell r="BI72" t="str">
            <v>BIDV</v>
          </cell>
        </row>
        <row r="73">
          <cell r="C73" t="str">
            <v>VB00608</v>
          </cell>
          <cell r="D73" t="str">
            <v>TRẦN THỊ LAN HƯƠNG</v>
          </cell>
          <cell r="E73" t="str">
            <v>NVBH</v>
          </cell>
          <cell r="F73" t="str">
            <v>Trung cấp</v>
          </cell>
          <cell r="G73">
            <v>45904</v>
          </cell>
          <cell r="H73">
            <v>45965</v>
          </cell>
          <cell r="I73">
            <v>0</v>
          </cell>
          <cell r="J73" t="str">
            <v>Chính thức</v>
          </cell>
          <cell r="K73">
            <v>27</v>
          </cell>
          <cell r="L73">
            <v>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T73">
            <v>26</v>
          </cell>
          <cell r="U73">
            <v>5310000</v>
          </cell>
          <cell r="V73">
            <v>700000</v>
          </cell>
          <cell r="W73">
            <v>200000</v>
          </cell>
          <cell r="X73">
            <v>0</v>
          </cell>
          <cell r="Y73">
            <v>0</v>
          </cell>
          <cell r="Z73">
            <v>6210000</v>
          </cell>
          <cell r="AA73">
            <v>5980000</v>
          </cell>
          <cell r="AB73">
            <v>0</v>
          </cell>
          <cell r="AC73">
            <v>0</v>
          </cell>
          <cell r="AD73">
            <v>5980000</v>
          </cell>
          <cell r="AF73">
            <v>350000</v>
          </cell>
          <cell r="AH73">
            <v>1617445.5111111109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P73">
            <v>0</v>
          </cell>
          <cell r="AQ73">
            <v>7947446</v>
          </cell>
          <cell r="AR73">
            <v>7947446</v>
          </cell>
          <cell r="AS73">
            <v>557550</v>
          </cell>
          <cell r="AT73">
            <v>1141650</v>
          </cell>
          <cell r="AU73">
            <v>26550</v>
          </cell>
          <cell r="AV73">
            <v>106200</v>
          </cell>
          <cell r="AW73">
            <v>15500000</v>
          </cell>
          <cell r="AX73">
            <v>7047446</v>
          </cell>
          <cell r="AY73">
            <v>0</v>
          </cell>
          <cell r="AZ73">
            <v>0</v>
          </cell>
          <cell r="BC73">
            <v>584100</v>
          </cell>
          <cell r="BE73">
            <v>7363346</v>
          </cell>
          <cell r="BF73">
            <v>7363346</v>
          </cell>
          <cell r="BG73" t="str">
            <v>CK</v>
          </cell>
          <cell r="BH73">
            <v>4711476306</v>
          </cell>
          <cell r="BI73" t="str">
            <v>BIDV</v>
          </cell>
        </row>
        <row r="74">
          <cell r="C74" t="str">
            <v>VB00693</v>
          </cell>
          <cell r="D74" t="str">
            <v>BÙI HỮU LỘC</v>
          </cell>
          <cell r="E74" t="str">
            <v>NVBH</v>
          </cell>
          <cell r="F74" t="str">
            <v>Sơ cấp</v>
          </cell>
          <cell r="G74">
            <v>46143</v>
          </cell>
          <cell r="H74">
            <v>46204</v>
          </cell>
          <cell r="I74">
            <v>0</v>
          </cell>
          <cell r="J74" t="str">
            <v>Chính thức</v>
          </cell>
          <cell r="K74">
            <v>27</v>
          </cell>
          <cell r="L74">
            <v>0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26</v>
          </cell>
          <cell r="U74">
            <v>5310000</v>
          </cell>
          <cell r="V74">
            <v>700000</v>
          </cell>
          <cell r="W74">
            <v>100000</v>
          </cell>
          <cell r="X74">
            <v>0</v>
          </cell>
          <cell r="Y74">
            <v>0</v>
          </cell>
          <cell r="Z74">
            <v>6110000</v>
          </cell>
          <cell r="AA74">
            <v>0</v>
          </cell>
          <cell r="AB74">
            <v>5001148.1481481483</v>
          </cell>
          <cell r="AC74">
            <v>0</v>
          </cell>
          <cell r="AD74">
            <v>5001148.1481481483</v>
          </cell>
          <cell r="AF74">
            <v>350000</v>
          </cell>
          <cell r="AH74">
            <v>1129134.5333333332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P74">
            <v>0</v>
          </cell>
          <cell r="AQ74">
            <v>6480283</v>
          </cell>
          <cell r="AR74">
            <v>6480283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15500000</v>
          </cell>
          <cell r="AX74">
            <v>5680283</v>
          </cell>
          <cell r="AY74">
            <v>0</v>
          </cell>
          <cell r="AZ74">
            <v>0</v>
          </cell>
          <cell r="BB74">
            <v>600000</v>
          </cell>
          <cell r="BC74">
            <v>600000</v>
          </cell>
          <cell r="BE74">
            <v>5880283</v>
          </cell>
          <cell r="BF74">
            <v>5880283</v>
          </cell>
          <cell r="BG74" t="str">
            <v>CK</v>
          </cell>
          <cell r="BH74">
            <v>8889037392</v>
          </cell>
          <cell r="BI74" t="str">
            <v>BIDV</v>
          </cell>
        </row>
        <row r="75">
          <cell r="K75">
            <v>108</v>
          </cell>
          <cell r="L75">
            <v>78</v>
          </cell>
          <cell r="M75">
            <v>26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104</v>
          </cell>
          <cell r="U75">
            <v>21790000</v>
          </cell>
          <cell r="V75">
            <v>2800000</v>
          </cell>
          <cell r="W75">
            <v>1500000</v>
          </cell>
          <cell r="X75">
            <v>300000</v>
          </cell>
          <cell r="Y75">
            <v>400000</v>
          </cell>
          <cell r="Z75">
            <v>26790000</v>
          </cell>
          <cell r="AA75">
            <v>19914074.074074075</v>
          </cell>
          <cell r="AB75">
            <v>5001148.1481481483</v>
          </cell>
          <cell r="AC75">
            <v>0</v>
          </cell>
          <cell r="AD75">
            <v>24915222.222222224</v>
          </cell>
          <cell r="AE75">
            <v>0</v>
          </cell>
          <cell r="AF75">
            <v>1400000</v>
          </cell>
          <cell r="AG75">
            <v>0</v>
          </cell>
          <cell r="AH75">
            <v>7028917.527777778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P75">
            <v>0</v>
          </cell>
          <cell r="AQ75">
            <v>33344141</v>
          </cell>
          <cell r="AR75">
            <v>33344141</v>
          </cell>
          <cell r="AS75">
            <v>1730400</v>
          </cell>
          <cell r="AT75">
            <v>3543200</v>
          </cell>
          <cell r="AU75">
            <v>82400</v>
          </cell>
          <cell r="AV75">
            <v>329600</v>
          </cell>
          <cell r="AW75">
            <v>62000000</v>
          </cell>
          <cell r="AX75">
            <v>28644141</v>
          </cell>
          <cell r="AY75">
            <v>0</v>
          </cell>
          <cell r="AZ75">
            <v>0</v>
          </cell>
          <cell r="BA75">
            <v>0</v>
          </cell>
          <cell r="BB75">
            <v>600000</v>
          </cell>
          <cell r="BC75">
            <v>2412800</v>
          </cell>
          <cell r="BD75">
            <v>0</v>
          </cell>
          <cell r="BE75">
            <v>30931341</v>
          </cell>
          <cell r="BF75">
            <v>30931341</v>
          </cell>
        </row>
        <row r="76">
          <cell r="C76" t="str">
            <v>VB00144</v>
          </cell>
          <cell r="D76" t="str">
            <v>PHẠM VĂN ĐÔ</v>
          </cell>
          <cell r="E76" t="str">
            <v>CHT</v>
          </cell>
          <cell r="F76" t="str">
            <v>Cao cấp</v>
          </cell>
          <cell r="G76">
            <v>44541</v>
          </cell>
          <cell r="H76">
            <v>44602</v>
          </cell>
          <cell r="I76">
            <v>4</v>
          </cell>
          <cell r="J76" t="str">
            <v>Chính thức</v>
          </cell>
          <cell r="K76">
            <v>27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5860000</v>
          </cell>
          <cell r="V76">
            <v>700000</v>
          </cell>
          <cell r="W76">
            <v>1000000</v>
          </cell>
          <cell r="X76">
            <v>300000</v>
          </cell>
          <cell r="Y76">
            <v>400000</v>
          </cell>
          <cell r="Z76">
            <v>8260000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F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21700000</v>
          </cell>
          <cell r="AX76">
            <v>-2100000</v>
          </cell>
          <cell r="AY76">
            <v>0</v>
          </cell>
          <cell r="AZ76">
            <v>0</v>
          </cell>
          <cell r="BC76">
            <v>0</v>
          </cell>
          <cell r="BE76">
            <v>0</v>
          </cell>
          <cell r="BF76">
            <v>0</v>
          </cell>
          <cell r="BG76" t="str">
            <v>CK</v>
          </cell>
          <cell r="BH76" t="str">
            <v>4502816577</v>
          </cell>
          <cell r="BI76" t="str">
            <v xml:space="preserve">Ngân hàng TMCP Đầu tư và Phát triển  Việt Nam (BIDV) </v>
          </cell>
        </row>
        <row r="77">
          <cell r="C77" t="str">
            <v>VB00582</v>
          </cell>
          <cell r="D77" t="str">
            <v>PHẠM THỊ THU HƯƠNG</v>
          </cell>
          <cell r="E77" t="str">
            <v>NVBH</v>
          </cell>
          <cell r="F77" t="str">
            <v>Sơ cấp</v>
          </cell>
          <cell r="G77">
            <v>45796</v>
          </cell>
          <cell r="H77">
            <v>45857</v>
          </cell>
          <cell r="I77">
            <v>1</v>
          </cell>
          <cell r="J77" t="str">
            <v>Chính thức</v>
          </cell>
          <cell r="K77">
            <v>27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5310000</v>
          </cell>
          <cell r="V77">
            <v>700000</v>
          </cell>
          <cell r="W77">
            <v>100000</v>
          </cell>
          <cell r="X77">
            <v>0</v>
          </cell>
          <cell r="Y77">
            <v>0</v>
          </cell>
          <cell r="Z77">
            <v>6110000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F77">
            <v>0</v>
          </cell>
          <cell r="AH77" t="e">
            <v>#DIV/0!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N77">
            <v>0</v>
          </cell>
          <cell r="AP77">
            <v>0</v>
          </cell>
          <cell r="AQ77" t="e">
            <v>#DIV/0!</v>
          </cell>
          <cell r="AR77" t="e">
            <v>#DIV/0!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15500000</v>
          </cell>
          <cell r="AX77" t="e">
            <v>#DIV/0!</v>
          </cell>
          <cell r="AY77" t="e">
            <v>#DIV/0!</v>
          </cell>
          <cell r="AZ77" t="e">
            <v>#DIV/0!</v>
          </cell>
          <cell r="BC77" t="e">
            <v>#DIV/0!</v>
          </cell>
          <cell r="BE77" t="e">
            <v>#DIV/0!</v>
          </cell>
          <cell r="BF77" t="e">
            <v>#DIV/0!</v>
          </cell>
          <cell r="BG77" t="str">
            <v>CK</v>
          </cell>
          <cell r="BH77">
            <v>8835405954</v>
          </cell>
          <cell r="BI77" t="str">
            <v>BIDV</v>
          </cell>
        </row>
        <row r="78">
          <cell r="C78" t="str">
            <v>VB00711</v>
          </cell>
          <cell r="D78" t="str">
            <v>VŨ PHƯƠNG GIANG</v>
          </cell>
          <cell r="E78" t="str">
            <v>NVBH</v>
          </cell>
          <cell r="F78" t="str">
            <v>Sơ cấp</v>
          </cell>
          <cell r="G78">
            <v>46204</v>
          </cell>
          <cell r="H78">
            <v>46265</v>
          </cell>
          <cell r="I78">
            <v>0</v>
          </cell>
          <cell r="J78" t="str">
            <v>Thử việc</v>
          </cell>
          <cell r="K78">
            <v>27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5310000</v>
          </cell>
          <cell r="V78">
            <v>700000</v>
          </cell>
          <cell r="W78">
            <v>100000</v>
          </cell>
          <cell r="X78">
            <v>0</v>
          </cell>
          <cell r="Y78">
            <v>0</v>
          </cell>
          <cell r="Z78">
            <v>6110000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F78">
            <v>0</v>
          </cell>
          <cell r="AH78" t="e">
            <v>#DIV/0!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N78">
            <v>0</v>
          </cell>
          <cell r="AQ78" t="e">
            <v>#DIV/0!</v>
          </cell>
          <cell r="AR78" t="e">
            <v>#DIV/0!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15500000</v>
          </cell>
          <cell r="AX78" t="e">
            <v>#DIV/0!</v>
          </cell>
          <cell r="AY78" t="e">
            <v>#DIV/0!</v>
          </cell>
          <cell r="AZ78" t="e">
            <v>#DIV/0!</v>
          </cell>
          <cell r="BC78" t="e">
            <v>#DIV/0!</v>
          </cell>
          <cell r="BE78" t="e">
            <v>#DIV/0!</v>
          </cell>
          <cell r="BF78" t="e">
            <v>#DIV/0!</v>
          </cell>
          <cell r="BG78" t="str">
            <v>CK</v>
          </cell>
          <cell r="BH78">
            <v>8849464441</v>
          </cell>
          <cell r="BI78" t="str">
            <v>BIDV</v>
          </cell>
        </row>
        <row r="79">
          <cell r="K79">
            <v>81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16480000</v>
          </cell>
          <cell r="V79">
            <v>2100000</v>
          </cell>
          <cell r="W79">
            <v>1200000</v>
          </cell>
          <cell r="X79">
            <v>300000</v>
          </cell>
          <cell r="Y79">
            <v>400000</v>
          </cell>
          <cell r="Z79">
            <v>20480000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 t="e">
            <v>#DIV/0!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P79">
            <v>0</v>
          </cell>
          <cell r="AQ79" t="e">
            <v>#DIV/0!</v>
          </cell>
          <cell r="AR79" t="e">
            <v>#DIV/0!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52700000</v>
          </cell>
          <cell r="AX79" t="e">
            <v>#DIV/0!</v>
          </cell>
          <cell r="AY79" t="e">
            <v>#DIV/0!</v>
          </cell>
          <cell r="AZ79" t="e">
            <v>#DIV/0!</v>
          </cell>
          <cell r="BA79">
            <v>0</v>
          </cell>
          <cell r="BB79">
            <v>0</v>
          </cell>
          <cell r="BC79" t="e">
            <v>#DIV/0!</v>
          </cell>
          <cell r="BD79">
            <v>0</v>
          </cell>
          <cell r="BE79" t="e">
            <v>#DIV/0!</v>
          </cell>
          <cell r="BF79" t="e">
            <v>#DIV/0!</v>
          </cell>
        </row>
        <row r="80">
          <cell r="C80" t="str">
            <v>VB00190</v>
          </cell>
          <cell r="D80" t="str">
            <v>VŨ THỊ HỒNG</v>
          </cell>
          <cell r="E80" t="str">
            <v>CHT</v>
          </cell>
          <cell r="F80" t="str">
            <v>Trung cấp</v>
          </cell>
          <cell r="G80">
            <v>44694</v>
          </cell>
          <cell r="H80">
            <v>44755</v>
          </cell>
          <cell r="I80">
            <v>4</v>
          </cell>
          <cell r="J80" t="str">
            <v>Chính thức</v>
          </cell>
          <cell r="K80">
            <v>27</v>
          </cell>
          <cell r="L80">
            <v>26</v>
          </cell>
          <cell r="M80">
            <v>0</v>
          </cell>
          <cell r="N80">
            <v>5</v>
          </cell>
          <cell r="O80">
            <v>0</v>
          </cell>
          <cell r="P80">
            <v>0</v>
          </cell>
          <cell r="R80">
            <v>0</v>
          </cell>
          <cell r="S80">
            <v>0</v>
          </cell>
          <cell r="T80">
            <v>26</v>
          </cell>
          <cell r="U80">
            <v>5860000</v>
          </cell>
          <cell r="V80">
            <v>700000</v>
          </cell>
          <cell r="W80">
            <v>1000000</v>
          </cell>
          <cell r="X80">
            <v>600000</v>
          </cell>
          <cell r="Y80">
            <v>400000</v>
          </cell>
          <cell r="Z80">
            <v>8560000</v>
          </cell>
          <cell r="AA80">
            <v>8242962.9629629627</v>
          </cell>
          <cell r="AB80">
            <v>0</v>
          </cell>
          <cell r="AC80">
            <v>0</v>
          </cell>
          <cell r="AD80">
            <v>8242962.9629629627</v>
          </cell>
          <cell r="AF80">
            <v>350000</v>
          </cell>
          <cell r="AH80">
            <v>3389185.4545454551</v>
          </cell>
          <cell r="AI80">
            <v>203472.22222222222</v>
          </cell>
          <cell r="AJ80">
            <v>0</v>
          </cell>
          <cell r="AK80">
            <v>0</v>
          </cell>
          <cell r="AL80">
            <v>0</v>
          </cell>
          <cell r="AN80">
            <v>0</v>
          </cell>
          <cell r="AP80">
            <v>0</v>
          </cell>
          <cell r="AQ80">
            <v>12185621</v>
          </cell>
          <cell r="AR80">
            <v>12185621</v>
          </cell>
          <cell r="AS80">
            <v>615300</v>
          </cell>
          <cell r="AT80">
            <v>1259900</v>
          </cell>
          <cell r="AU80">
            <v>29300</v>
          </cell>
          <cell r="AV80">
            <v>117200</v>
          </cell>
          <cell r="AW80">
            <v>21700000</v>
          </cell>
          <cell r="AX80">
            <v>9882149</v>
          </cell>
          <cell r="AY80">
            <v>0</v>
          </cell>
          <cell r="AZ80">
            <v>0</v>
          </cell>
          <cell r="BC80">
            <v>644600</v>
          </cell>
          <cell r="BE80">
            <v>11541021</v>
          </cell>
          <cell r="BF80">
            <v>11541021</v>
          </cell>
          <cell r="BG80" t="str">
            <v>CK</v>
          </cell>
          <cell r="BH80">
            <v>1600440541</v>
          </cell>
          <cell r="BI80" t="str">
            <v>BIDV - CN Ba Đình</v>
          </cell>
        </row>
        <row r="81">
          <cell r="C81" t="str">
            <v>VB00561</v>
          </cell>
          <cell r="D81" t="str">
            <v>NGHIÊM DUY HIẾU</v>
          </cell>
          <cell r="E81" t="str">
            <v>NVBH</v>
          </cell>
          <cell r="F81" t="str">
            <v>Sơ cấp</v>
          </cell>
          <cell r="G81">
            <v>45754</v>
          </cell>
          <cell r="H81">
            <v>45815</v>
          </cell>
          <cell r="I81">
            <v>1</v>
          </cell>
          <cell r="J81" t="str">
            <v>Chính thức</v>
          </cell>
          <cell r="K81">
            <v>27</v>
          </cell>
          <cell r="L81">
            <v>26</v>
          </cell>
          <cell r="M81">
            <v>0</v>
          </cell>
          <cell r="N81">
            <v>40</v>
          </cell>
          <cell r="O81">
            <v>0</v>
          </cell>
          <cell r="P81">
            <v>0</v>
          </cell>
          <cell r="R81">
            <v>0</v>
          </cell>
          <cell r="S81">
            <v>0</v>
          </cell>
          <cell r="T81">
            <v>26</v>
          </cell>
          <cell r="U81">
            <v>5310000</v>
          </cell>
          <cell r="V81">
            <v>700000</v>
          </cell>
          <cell r="W81">
            <v>170000</v>
          </cell>
          <cell r="X81">
            <v>0</v>
          </cell>
          <cell r="Y81">
            <v>0</v>
          </cell>
          <cell r="Z81">
            <v>6180000</v>
          </cell>
          <cell r="AA81">
            <v>5951111.111111111</v>
          </cell>
          <cell r="AB81">
            <v>0</v>
          </cell>
          <cell r="AC81">
            <v>0</v>
          </cell>
          <cell r="AD81">
            <v>5951111.111111111</v>
          </cell>
          <cell r="AF81">
            <v>350000</v>
          </cell>
          <cell r="AH81">
            <v>1932238.565088175</v>
          </cell>
          <cell r="AI81">
            <v>1475000</v>
          </cell>
          <cell r="AJ81">
            <v>0</v>
          </cell>
          <cell r="AK81">
            <v>0</v>
          </cell>
          <cell r="AL81">
            <v>0</v>
          </cell>
          <cell r="AN81">
            <v>0</v>
          </cell>
          <cell r="AP81">
            <v>0</v>
          </cell>
          <cell r="AQ81">
            <v>9708350</v>
          </cell>
          <cell r="AR81">
            <v>9708350</v>
          </cell>
          <cell r="AS81">
            <v>557550</v>
          </cell>
          <cell r="AT81">
            <v>1141650</v>
          </cell>
          <cell r="AU81">
            <v>26550</v>
          </cell>
          <cell r="AV81">
            <v>106200</v>
          </cell>
          <cell r="AW81">
            <v>15500000</v>
          </cell>
          <cell r="AX81">
            <v>7363350</v>
          </cell>
          <cell r="AY81">
            <v>0</v>
          </cell>
          <cell r="AZ81">
            <v>0</v>
          </cell>
          <cell r="BC81">
            <v>584100</v>
          </cell>
          <cell r="BE81">
            <v>9124250</v>
          </cell>
          <cell r="BF81">
            <v>9124250</v>
          </cell>
          <cell r="BG81" t="str">
            <v>CK</v>
          </cell>
          <cell r="BH81">
            <v>8835136940</v>
          </cell>
          <cell r="BI81" t="str">
            <v>BIDV</v>
          </cell>
        </row>
        <row r="82">
          <cell r="C82" t="str">
            <v>VB00583</v>
          </cell>
          <cell r="D82" t="str">
            <v>BÙI THỊ QUỲNH</v>
          </cell>
          <cell r="E82" t="str">
            <v>NVBH</v>
          </cell>
          <cell r="F82" t="str">
            <v>Trung cấp</v>
          </cell>
          <cell r="G82">
            <v>45797</v>
          </cell>
          <cell r="H82">
            <v>45858</v>
          </cell>
          <cell r="I82">
            <v>1</v>
          </cell>
          <cell r="J82" t="str">
            <v>Chính thức</v>
          </cell>
          <cell r="K82">
            <v>27</v>
          </cell>
          <cell r="L82">
            <v>26</v>
          </cell>
          <cell r="M82">
            <v>0</v>
          </cell>
          <cell r="N82">
            <v>40</v>
          </cell>
          <cell r="O82">
            <v>0</v>
          </cell>
          <cell r="P82">
            <v>0</v>
          </cell>
          <cell r="R82">
            <v>0</v>
          </cell>
          <cell r="S82">
            <v>0</v>
          </cell>
          <cell r="T82">
            <v>26</v>
          </cell>
          <cell r="U82">
            <v>5310000</v>
          </cell>
          <cell r="V82">
            <v>700000</v>
          </cell>
          <cell r="W82">
            <v>150000</v>
          </cell>
          <cell r="X82">
            <v>400000</v>
          </cell>
          <cell r="Y82">
            <v>0</v>
          </cell>
          <cell r="Z82">
            <v>6560000</v>
          </cell>
          <cell r="AA82">
            <v>6317037.0370370364</v>
          </cell>
          <cell r="AB82">
            <v>0</v>
          </cell>
          <cell r="AC82">
            <v>0</v>
          </cell>
          <cell r="AD82">
            <v>6317037.0370370364</v>
          </cell>
          <cell r="AF82">
            <v>350000</v>
          </cell>
          <cell r="AH82">
            <v>1562674.4504344042</v>
          </cell>
          <cell r="AI82">
            <v>1475000</v>
          </cell>
          <cell r="AJ82">
            <v>0</v>
          </cell>
          <cell r="AK82">
            <v>0</v>
          </cell>
          <cell r="AL82">
            <v>0</v>
          </cell>
          <cell r="AN82">
            <v>0</v>
          </cell>
          <cell r="AP82">
            <v>0</v>
          </cell>
          <cell r="AQ82">
            <v>9704711</v>
          </cell>
          <cell r="AR82">
            <v>9704711</v>
          </cell>
          <cell r="AS82">
            <v>557550</v>
          </cell>
          <cell r="AT82">
            <v>1141650</v>
          </cell>
          <cell r="AU82">
            <v>26550</v>
          </cell>
          <cell r="AV82">
            <v>106200</v>
          </cell>
          <cell r="AW82">
            <v>15500000</v>
          </cell>
          <cell r="AX82">
            <v>7379711</v>
          </cell>
          <cell r="AY82">
            <v>0</v>
          </cell>
          <cell r="AZ82">
            <v>0</v>
          </cell>
          <cell r="BC82">
            <v>584100</v>
          </cell>
          <cell r="BE82">
            <v>9120611</v>
          </cell>
          <cell r="BF82">
            <v>9120611</v>
          </cell>
          <cell r="BG82" t="str">
            <v>CK</v>
          </cell>
          <cell r="BH82">
            <v>8875415485</v>
          </cell>
          <cell r="BI82" t="str">
            <v>BIDV</v>
          </cell>
        </row>
        <row r="83">
          <cell r="C83" t="str">
            <v>VBP00019</v>
          </cell>
          <cell r="D83" t="str">
            <v xml:space="preserve">VŨ THỊ THU TRANG </v>
          </cell>
          <cell r="E83" t="str">
            <v>NVBH</v>
          </cell>
          <cell r="F83" t="str">
            <v>PART</v>
          </cell>
          <cell r="G83">
            <v>46136</v>
          </cell>
          <cell r="H83">
            <v>46136</v>
          </cell>
          <cell r="I83">
            <v>0</v>
          </cell>
          <cell r="J83" t="str">
            <v>Thời vụ</v>
          </cell>
          <cell r="K83">
            <v>27</v>
          </cell>
          <cell r="L83">
            <v>7.6124999999999998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>
            <v>0</v>
          </cell>
          <cell r="S83">
            <v>0</v>
          </cell>
          <cell r="T83">
            <v>7.6124999999999998</v>
          </cell>
          <cell r="U83">
            <v>240000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240000</v>
          </cell>
          <cell r="AA83">
            <v>1827000</v>
          </cell>
          <cell r="AB83">
            <v>0</v>
          </cell>
          <cell r="AC83">
            <v>0</v>
          </cell>
          <cell r="AD83">
            <v>1827000</v>
          </cell>
          <cell r="AF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P83">
            <v>0</v>
          </cell>
          <cell r="AQ83">
            <v>1827000</v>
          </cell>
          <cell r="AR83">
            <v>1827000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1827000</v>
          </cell>
          <cell r="AY83">
            <v>0</v>
          </cell>
          <cell r="AZ83">
            <v>0</v>
          </cell>
          <cell r="BC83">
            <v>0</v>
          </cell>
          <cell r="BE83">
            <v>1827000</v>
          </cell>
          <cell r="BF83">
            <v>1827000</v>
          </cell>
          <cell r="BG83" t="str">
            <v>CK</v>
          </cell>
          <cell r="BH83">
            <v>8838768934</v>
          </cell>
          <cell r="BI83" t="str">
            <v>BIDV</v>
          </cell>
        </row>
        <row r="84">
          <cell r="K84">
            <v>108</v>
          </cell>
          <cell r="L84">
            <v>85.612499999999997</v>
          </cell>
          <cell r="M84">
            <v>0</v>
          </cell>
          <cell r="N84">
            <v>85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85.612499999999997</v>
          </cell>
          <cell r="U84">
            <v>16720000</v>
          </cell>
          <cell r="V84">
            <v>2100000</v>
          </cell>
          <cell r="W84">
            <v>1320000</v>
          </cell>
          <cell r="X84">
            <v>1000000</v>
          </cell>
          <cell r="Y84">
            <v>400000</v>
          </cell>
          <cell r="Z84">
            <v>21540000</v>
          </cell>
          <cell r="AA84">
            <v>22338111.111111112</v>
          </cell>
          <cell r="AB84">
            <v>0</v>
          </cell>
          <cell r="AC84">
            <v>0</v>
          </cell>
          <cell r="AD84">
            <v>22338111.111111112</v>
          </cell>
          <cell r="AE84">
            <v>0</v>
          </cell>
          <cell r="AF84">
            <v>1050000</v>
          </cell>
          <cell r="AG84">
            <v>0</v>
          </cell>
          <cell r="AH84">
            <v>6884098.4700680347</v>
          </cell>
          <cell r="AI84">
            <v>3153472.222222222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33425682</v>
          </cell>
          <cell r="AR84">
            <v>33425682</v>
          </cell>
          <cell r="AS84">
            <v>1730400</v>
          </cell>
          <cell r="AT84">
            <v>3543200</v>
          </cell>
          <cell r="AU84">
            <v>82400</v>
          </cell>
          <cell r="AV84">
            <v>329600</v>
          </cell>
          <cell r="AW84">
            <v>52700000</v>
          </cell>
          <cell r="AX84">
            <v>26452210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1812800</v>
          </cell>
          <cell r="BD84">
            <v>0</v>
          </cell>
          <cell r="BE84">
            <v>31612882</v>
          </cell>
          <cell r="BF84">
            <v>31612882</v>
          </cell>
          <cell r="BG84" t="str">
            <v>CK</v>
          </cell>
        </row>
        <row r="85">
          <cell r="C85" t="str">
            <v>VB00128</v>
          </cell>
          <cell r="D85" t="str">
            <v>LÊ THỊ MỸ LINH</v>
          </cell>
          <cell r="E85" t="str">
            <v>CHT</v>
          </cell>
          <cell r="F85" t="str">
            <v>Cao cấp</v>
          </cell>
          <cell r="G85">
            <v>44520</v>
          </cell>
          <cell r="H85">
            <v>44580</v>
          </cell>
          <cell r="I85">
            <v>4</v>
          </cell>
          <cell r="J85" t="str">
            <v>Chính thức</v>
          </cell>
          <cell r="K85">
            <v>27</v>
          </cell>
          <cell r="L85">
            <v>26</v>
          </cell>
          <cell r="M85">
            <v>0</v>
          </cell>
          <cell r="N85">
            <v>40</v>
          </cell>
          <cell r="O85">
            <v>0</v>
          </cell>
          <cell r="P85">
            <v>0</v>
          </cell>
          <cell r="R85">
            <v>0</v>
          </cell>
          <cell r="S85">
            <v>0</v>
          </cell>
          <cell r="T85">
            <v>26</v>
          </cell>
          <cell r="U85">
            <v>5860000</v>
          </cell>
          <cell r="V85">
            <v>700000</v>
          </cell>
          <cell r="W85">
            <v>1000000</v>
          </cell>
          <cell r="X85">
            <v>300000</v>
          </cell>
          <cell r="Y85">
            <v>400000</v>
          </cell>
          <cell r="Z85">
            <v>8260000</v>
          </cell>
          <cell r="AA85">
            <v>7954074.0740740737</v>
          </cell>
          <cell r="AB85">
            <v>0</v>
          </cell>
          <cell r="AC85">
            <v>0</v>
          </cell>
          <cell r="AD85">
            <v>7954074.0740740737</v>
          </cell>
          <cell r="AF85">
            <v>350000</v>
          </cell>
          <cell r="AH85">
            <v>3476147.3488372094</v>
          </cell>
          <cell r="AI85">
            <v>1627777.7777777778</v>
          </cell>
          <cell r="AJ85">
            <v>0</v>
          </cell>
          <cell r="AK85">
            <v>0</v>
          </cell>
          <cell r="AL85">
            <v>0</v>
          </cell>
          <cell r="AN85">
            <v>1000000</v>
          </cell>
          <cell r="AQ85">
            <v>14407999</v>
          </cell>
          <cell r="AR85">
            <v>14407999</v>
          </cell>
          <cell r="AS85">
            <v>615300</v>
          </cell>
          <cell r="AT85">
            <v>1259900</v>
          </cell>
          <cell r="AU85">
            <v>29300</v>
          </cell>
          <cell r="AV85">
            <v>117200</v>
          </cell>
          <cell r="AW85">
            <v>15500000</v>
          </cell>
          <cell r="AX85">
            <v>10680221</v>
          </cell>
          <cell r="AY85">
            <v>0</v>
          </cell>
          <cell r="AZ85">
            <v>0</v>
          </cell>
          <cell r="BC85">
            <v>644600</v>
          </cell>
          <cell r="BE85">
            <v>13763399</v>
          </cell>
          <cell r="BF85">
            <v>12763399</v>
          </cell>
          <cell r="BG85" t="str">
            <v>CK</v>
          </cell>
          <cell r="BH85" t="str">
            <v>5511275834</v>
          </cell>
          <cell r="BI85" t="str">
            <v>Ngân hàng TMCP Đầu tư và Phát triển  Việt Nam (BIDV)- CN Hue</v>
          </cell>
        </row>
        <row r="86">
          <cell r="C86" t="str">
            <v>VB00416</v>
          </cell>
          <cell r="D86" t="str">
            <v>NGUYỄN PHƯỚC BÌNH</v>
          </cell>
          <cell r="E86" t="str">
            <v>NVBH</v>
          </cell>
          <cell r="F86" t="str">
            <v>Sơ cấp</v>
          </cell>
          <cell r="G86">
            <v>45455</v>
          </cell>
          <cell r="H86">
            <v>45516</v>
          </cell>
          <cell r="I86">
            <v>2</v>
          </cell>
          <cell r="J86" t="str">
            <v>Chính thức</v>
          </cell>
          <cell r="K86">
            <v>27</v>
          </cell>
          <cell r="L86">
            <v>26</v>
          </cell>
          <cell r="M86">
            <v>0</v>
          </cell>
          <cell r="N86">
            <v>35</v>
          </cell>
          <cell r="O86">
            <v>0</v>
          </cell>
          <cell r="P86">
            <v>0</v>
          </cell>
          <cell r="R86">
            <v>0</v>
          </cell>
          <cell r="S86">
            <v>0</v>
          </cell>
          <cell r="T86">
            <v>26</v>
          </cell>
          <cell r="U86">
            <v>5310000</v>
          </cell>
          <cell r="V86">
            <v>700000</v>
          </cell>
          <cell r="W86">
            <v>100000</v>
          </cell>
          <cell r="X86">
            <v>0</v>
          </cell>
          <cell r="Y86">
            <v>0</v>
          </cell>
          <cell r="Z86">
            <v>6110000</v>
          </cell>
          <cell r="AA86">
            <v>5883703.7037037034</v>
          </cell>
          <cell r="AB86">
            <v>0</v>
          </cell>
          <cell r="AC86">
            <v>0</v>
          </cell>
          <cell r="AD86">
            <v>5883703.7037037034</v>
          </cell>
          <cell r="AF86">
            <v>350000</v>
          </cell>
          <cell r="AH86">
            <v>1934025.4633826455</v>
          </cell>
          <cell r="AI86">
            <v>1290625</v>
          </cell>
          <cell r="AJ86">
            <v>0</v>
          </cell>
          <cell r="AK86">
            <v>0</v>
          </cell>
          <cell r="AL86">
            <v>0</v>
          </cell>
          <cell r="AN86">
            <v>1000000</v>
          </cell>
          <cell r="AP86">
            <v>0</v>
          </cell>
          <cell r="AQ86">
            <v>10458354</v>
          </cell>
          <cell r="AR86">
            <v>10458354</v>
          </cell>
          <cell r="AS86">
            <v>557550</v>
          </cell>
          <cell r="AT86">
            <v>1141650</v>
          </cell>
          <cell r="AU86">
            <v>26550</v>
          </cell>
          <cell r="AV86">
            <v>106200</v>
          </cell>
          <cell r="AW86">
            <v>15500000</v>
          </cell>
          <cell r="AX86">
            <v>8367729</v>
          </cell>
          <cell r="AY86">
            <v>0</v>
          </cell>
          <cell r="AZ86">
            <v>0</v>
          </cell>
          <cell r="BC86">
            <v>584100</v>
          </cell>
          <cell r="BE86">
            <v>9874254</v>
          </cell>
          <cell r="BF86">
            <v>8874254</v>
          </cell>
          <cell r="BG86" t="str">
            <v>CK</v>
          </cell>
          <cell r="BH86">
            <v>8822777504</v>
          </cell>
          <cell r="BI86" t="str">
            <v>BIDV - CN Thừa Thiên Huế</v>
          </cell>
        </row>
        <row r="87">
          <cell r="C87" t="str">
            <v>VB00584</v>
          </cell>
          <cell r="D87" t="str">
            <v>VÕ THỊ THU HIỀN</v>
          </cell>
          <cell r="E87" t="str">
            <v>NVBH</v>
          </cell>
          <cell r="F87" t="str">
            <v>Sơ cấp</v>
          </cell>
          <cell r="G87">
            <v>45801</v>
          </cell>
          <cell r="H87">
            <v>45862</v>
          </cell>
          <cell r="I87">
            <v>1</v>
          </cell>
          <cell r="J87" t="str">
            <v>Chính thức</v>
          </cell>
          <cell r="K87">
            <v>27</v>
          </cell>
          <cell r="L87">
            <v>26</v>
          </cell>
          <cell r="M87">
            <v>0</v>
          </cell>
          <cell r="N87">
            <v>40</v>
          </cell>
          <cell r="O87">
            <v>0</v>
          </cell>
          <cell r="P87">
            <v>0</v>
          </cell>
          <cell r="R87">
            <v>0</v>
          </cell>
          <cell r="S87">
            <v>0</v>
          </cell>
          <cell r="T87">
            <v>26</v>
          </cell>
          <cell r="U87">
            <v>5310000</v>
          </cell>
          <cell r="V87">
            <v>700000</v>
          </cell>
          <cell r="W87">
            <v>100000</v>
          </cell>
          <cell r="X87">
            <v>0</v>
          </cell>
          <cell r="Y87">
            <v>0</v>
          </cell>
          <cell r="Z87">
            <v>6110000</v>
          </cell>
          <cell r="AA87">
            <v>5883703.7037037034</v>
          </cell>
          <cell r="AB87">
            <v>0</v>
          </cell>
          <cell r="AC87">
            <v>0</v>
          </cell>
          <cell r="AD87">
            <v>5883703.7037037034</v>
          </cell>
          <cell r="AF87">
            <v>350000</v>
          </cell>
          <cell r="AH87">
            <v>1431905.2548273904</v>
          </cell>
          <cell r="AI87">
            <v>1475000</v>
          </cell>
          <cell r="AJ87">
            <v>0</v>
          </cell>
          <cell r="AK87">
            <v>0</v>
          </cell>
          <cell r="AL87">
            <v>0</v>
          </cell>
          <cell r="AN87">
            <v>1000000</v>
          </cell>
          <cell r="AQ87">
            <v>10140609</v>
          </cell>
          <cell r="AR87">
            <v>10140609</v>
          </cell>
          <cell r="AS87">
            <v>557550</v>
          </cell>
          <cell r="AT87">
            <v>1141650</v>
          </cell>
          <cell r="AU87">
            <v>26550</v>
          </cell>
          <cell r="AV87">
            <v>106200</v>
          </cell>
          <cell r="AW87">
            <v>15500000</v>
          </cell>
          <cell r="AX87">
            <v>7865609</v>
          </cell>
          <cell r="AY87">
            <v>0</v>
          </cell>
          <cell r="AZ87">
            <v>0</v>
          </cell>
          <cell r="BC87">
            <v>584100</v>
          </cell>
          <cell r="BE87">
            <v>9556509</v>
          </cell>
          <cell r="BF87">
            <v>8556509</v>
          </cell>
          <cell r="BG87" t="str">
            <v>CK</v>
          </cell>
          <cell r="BH87">
            <v>8815383471</v>
          </cell>
          <cell r="BI87" t="str">
            <v>BIDV</v>
          </cell>
        </row>
        <row r="88">
          <cell r="C88" t="str">
            <v>VB00130</v>
          </cell>
          <cell r="D88" t="str">
            <v>TÔN NỮ QUỲNH LOAN</v>
          </cell>
          <cell r="E88" t="str">
            <v>NVBH</v>
          </cell>
          <cell r="F88" t="str">
            <v>Trung cấp</v>
          </cell>
          <cell r="G88">
            <v>44520</v>
          </cell>
          <cell r="H88">
            <v>44581</v>
          </cell>
          <cell r="I88">
            <v>4</v>
          </cell>
          <cell r="J88" t="str">
            <v>Chính thức</v>
          </cell>
          <cell r="K88">
            <v>27</v>
          </cell>
          <cell r="L88">
            <v>26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>
            <v>0</v>
          </cell>
          <cell r="S88">
            <v>0</v>
          </cell>
          <cell r="T88">
            <v>26</v>
          </cell>
          <cell r="U88">
            <v>5310000</v>
          </cell>
          <cell r="V88">
            <v>700000</v>
          </cell>
          <cell r="W88">
            <v>200000</v>
          </cell>
          <cell r="X88">
            <v>0</v>
          </cell>
          <cell r="Y88">
            <v>0</v>
          </cell>
          <cell r="Z88">
            <v>6210000</v>
          </cell>
          <cell r="AA88">
            <v>5980000</v>
          </cell>
          <cell r="AB88">
            <v>0</v>
          </cell>
          <cell r="AC88">
            <v>0</v>
          </cell>
          <cell r="AD88">
            <v>5980000</v>
          </cell>
          <cell r="AF88">
            <v>350000</v>
          </cell>
          <cell r="AH88">
            <v>1414783.8425884764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N88">
            <v>1000000</v>
          </cell>
          <cell r="AP88">
            <v>0</v>
          </cell>
          <cell r="AQ88">
            <v>8744784</v>
          </cell>
          <cell r="AR88">
            <v>8744784</v>
          </cell>
          <cell r="AS88">
            <v>557550</v>
          </cell>
          <cell r="AT88">
            <v>1141650</v>
          </cell>
          <cell r="AU88">
            <v>26550</v>
          </cell>
          <cell r="AV88">
            <v>106200</v>
          </cell>
          <cell r="AW88">
            <v>15500000</v>
          </cell>
          <cell r="AX88">
            <v>7844784</v>
          </cell>
          <cell r="AY88">
            <v>0</v>
          </cell>
          <cell r="AZ88">
            <v>0</v>
          </cell>
          <cell r="BC88">
            <v>584100</v>
          </cell>
          <cell r="BE88">
            <v>8160684</v>
          </cell>
          <cell r="BF88">
            <v>7160684</v>
          </cell>
          <cell r="BG88" t="str">
            <v>CK</v>
          </cell>
          <cell r="BH88">
            <v>5511279410</v>
          </cell>
          <cell r="BI88" t="str">
            <v>BIDV</v>
          </cell>
        </row>
        <row r="89">
          <cell r="K89">
            <v>108</v>
          </cell>
          <cell r="L89">
            <v>104</v>
          </cell>
          <cell r="M89">
            <v>0</v>
          </cell>
          <cell r="N89">
            <v>115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104</v>
          </cell>
          <cell r="U89">
            <v>21790000</v>
          </cell>
          <cell r="V89">
            <v>2800000</v>
          </cell>
          <cell r="W89">
            <v>1400000</v>
          </cell>
          <cell r="X89">
            <v>300000</v>
          </cell>
          <cell r="Y89">
            <v>400000</v>
          </cell>
          <cell r="Z89">
            <v>26690000</v>
          </cell>
          <cell r="AA89">
            <v>25701481.481481478</v>
          </cell>
          <cell r="AB89">
            <v>0</v>
          </cell>
          <cell r="AC89">
            <v>0</v>
          </cell>
          <cell r="AD89">
            <v>25701481.481481478</v>
          </cell>
          <cell r="AE89">
            <v>0</v>
          </cell>
          <cell r="AF89">
            <v>1400000</v>
          </cell>
          <cell r="AG89">
            <v>0</v>
          </cell>
          <cell r="AH89">
            <v>8256861.9096357208</v>
          </cell>
          <cell r="AI89">
            <v>4393402.777777778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P89">
            <v>0</v>
          </cell>
          <cell r="AQ89">
            <v>43751746</v>
          </cell>
          <cell r="AR89">
            <v>43751746</v>
          </cell>
          <cell r="AS89">
            <v>2287950</v>
          </cell>
          <cell r="AT89">
            <v>4684850</v>
          </cell>
          <cell r="AU89">
            <v>108950</v>
          </cell>
          <cell r="AV89">
            <v>435800</v>
          </cell>
          <cell r="AW89">
            <v>62000000</v>
          </cell>
          <cell r="AX89">
            <v>34758343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2396900</v>
          </cell>
          <cell r="BD89">
            <v>0</v>
          </cell>
          <cell r="BE89">
            <v>41354846</v>
          </cell>
          <cell r="BF89">
            <v>41354846</v>
          </cell>
        </row>
        <row r="90">
          <cell r="C90" t="str">
            <v>VB00205</v>
          </cell>
          <cell r="D90" t="str">
            <v>NGUYỄN NGỌC TRANG</v>
          </cell>
          <cell r="E90" t="str">
            <v>CHT</v>
          </cell>
          <cell r="F90" t="str">
            <v>Cao cấp</v>
          </cell>
          <cell r="G90">
            <v>44722</v>
          </cell>
          <cell r="H90">
            <v>44783</v>
          </cell>
          <cell r="I90">
            <v>4</v>
          </cell>
          <cell r="J90" t="str">
            <v>Chính thức</v>
          </cell>
          <cell r="K90">
            <v>27</v>
          </cell>
          <cell r="L90">
            <v>26</v>
          </cell>
          <cell r="M90">
            <v>0</v>
          </cell>
          <cell r="N90">
            <v>6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26</v>
          </cell>
          <cell r="U90">
            <v>5860000</v>
          </cell>
          <cell r="V90">
            <v>700000</v>
          </cell>
          <cell r="W90">
            <v>1000000</v>
          </cell>
          <cell r="X90">
            <v>300000</v>
          </cell>
          <cell r="Y90">
            <v>400000</v>
          </cell>
          <cell r="Z90">
            <v>8260000</v>
          </cell>
          <cell r="AA90">
            <v>7954074.0740740737</v>
          </cell>
          <cell r="AB90">
            <v>0</v>
          </cell>
          <cell r="AC90">
            <v>0</v>
          </cell>
          <cell r="AD90">
            <v>7954074.0740740737</v>
          </cell>
          <cell r="AF90">
            <v>350000</v>
          </cell>
          <cell r="AH90">
            <v>5423159.0508474568</v>
          </cell>
          <cell r="AI90">
            <v>244166.66666666669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P90">
            <v>0</v>
          </cell>
          <cell r="AQ90">
            <v>13971400</v>
          </cell>
          <cell r="AR90">
            <v>13971400</v>
          </cell>
          <cell r="AS90">
            <v>615300</v>
          </cell>
          <cell r="AT90">
            <v>1259900</v>
          </cell>
          <cell r="AU90">
            <v>29300</v>
          </cell>
          <cell r="AV90">
            <v>117200</v>
          </cell>
          <cell r="AW90">
            <v>15500000</v>
          </cell>
          <cell r="AX90">
            <v>11627233</v>
          </cell>
          <cell r="AY90">
            <v>0</v>
          </cell>
          <cell r="AZ90">
            <v>0</v>
          </cell>
          <cell r="BC90">
            <v>644600</v>
          </cell>
          <cell r="BE90">
            <v>13326800</v>
          </cell>
          <cell r="BF90">
            <v>13326800</v>
          </cell>
          <cell r="BG90" t="str">
            <v>CK</v>
          </cell>
          <cell r="BH90" t="str">
            <v>4480564660</v>
          </cell>
          <cell r="BI90" t="str">
            <v>Ngân hàng TMCP Đầu tư và Phát triển  Việt Nam (BIDV) - CN Hạ Long</v>
          </cell>
        </row>
        <row r="91">
          <cell r="C91" t="str">
            <v>VB00234</v>
          </cell>
          <cell r="D91" t="str">
            <v>LẠI THỊ KIỀU TRANG</v>
          </cell>
          <cell r="E91" t="str">
            <v>NVBH</v>
          </cell>
          <cell r="F91" t="str">
            <v>Trung cấp</v>
          </cell>
          <cell r="G91">
            <v>44763</v>
          </cell>
          <cell r="H91">
            <v>44825</v>
          </cell>
          <cell r="I91">
            <v>4</v>
          </cell>
          <cell r="J91" t="str">
            <v>Chính thức</v>
          </cell>
          <cell r="K91">
            <v>27</v>
          </cell>
          <cell r="L91">
            <v>26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26</v>
          </cell>
          <cell r="U91">
            <v>5310000</v>
          </cell>
          <cell r="V91">
            <v>700000</v>
          </cell>
          <cell r="W91">
            <v>200000</v>
          </cell>
          <cell r="X91">
            <v>0</v>
          </cell>
          <cell r="Y91">
            <v>0</v>
          </cell>
          <cell r="Z91">
            <v>6210000</v>
          </cell>
          <cell r="AA91">
            <v>5980000</v>
          </cell>
          <cell r="AB91">
            <v>0</v>
          </cell>
          <cell r="AC91">
            <v>0</v>
          </cell>
          <cell r="AD91">
            <v>5980000</v>
          </cell>
          <cell r="AF91">
            <v>350000</v>
          </cell>
          <cell r="AG91">
            <v>115555.55555555555</v>
          </cell>
          <cell r="AH91">
            <v>3987321.9661016953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N91">
            <v>0</v>
          </cell>
          <cell r="AP91">
            <v>0</v>
          </cell>
          <cell r="AQ91">
            <v>10432878</v>
          </cell>
          <cell r="AR91">
            <v>10432878</v>
          </cell>
          <cell r="AS91">
            <v>557550</v>
          </cell>
          <cell r="AT91">
            <v>1141650</v>
          </cell>
          <cell r="AU91">
            <v>26550</v>
          </cell>
          <cell r="AV91">
            <v>106200</v>
          </cell>
          <cell r="AW91">
            <v>21700000</v>
          </cell>
          <cell r="AX91">
            <v>9532878</v>
          </cell>
          <cell r="AY91">
            <v>0</v>
          </cell>
          <cell r="AZ91">
            <v>0</v>
          </cell>
          <cell r="BC91">
            <v>584100</v>
          </cell>
          <cell r="BE91">
            <v>9848778</v>
          </cell>
          <cell r="BF91">
            <v>9848778</v>
          </cell>
          <cell r="BG91" t="str">
            <v>CK</v>
          </cell>
          <cell r="BH91" t="str">
            <v>4480573268</v>
          </cell>
          <cell r="BI91" t="str">
            <v>Ngân hàng TMCP Đầu tư và Phát triển  Việt Nam (BIDV)-CN Hạ Long</v>
          </cell>
        </row>
        <row r="92">
          <cell r="C92" t="str">
            <v>VB00332</v>
          </cell>
          <cell r="D92" t="str">
            <v>TRƯƠNG HỒNG HẢI</v>
          </cell>
          <cell r="E92" t="str">
            <v>NVBH</v>
          </cell>
          <cell r="F92" t="str">
            <v>Trung cấp</v>
          </cell>
          <cell r="G92">
            <v>45184</v>
          </cell>
          <cell r="H92">
            <v>45245</v>
          </cell>
          <cell r="I92">
            <v>2</v>
          </cell>
          <cell r="J92" t="str">
            <v>Chính thức</v>
          </cell>
          <cell r="K92">
            <v>27</v>
          </cell>
          <cell r="L92">
            <v>26</v>
          </cell>
          <cell r="M92">
            <v>0</v>
          </cell>
          <cell r="N92">
            <v>6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26</v>
          </cell>
          <cell r="U92">
            <v>5310000</v>
          </cell>
          <cell r="V92">
            <v>700000</v>
          </cell>
          <cell r="W92">
            <v>200000</v>
          </cell>
          <cell r="X92">
            <v>0</v>
          </cell>
          <cell r="Y92">
            <v>0</v>
          </cell>
          <cell r="Z92">
            <v>6210000</v>
          </cell>
          <cell r="AA92">
            <v>5980000</v>
          </cell>
          <cell r="AB92">
            <v>0</v>
          </cell>
          <cell r="AC92">
            <v>0</v>
          </cell>
          <cell r="AD92">
            <v>5980000</v>
          </cell>
          <cell r="AF92">
            <v>350000</v>
          </cell>
          <cell r="AG92">
            <v>115555.55555555555</v>
          </cell>
          <cell r="AH92">
            <v>3118205.2881355938</v>
          </cell>
          <cell r="AI92">
            <v>221250</v>
          </cell>
          <cell r="AJ92">
            <v>0</v>
          </cell>
          <cell r="AK92">
            <v>0</v>
          </cell>
          <cell r="AL92">
            <v>0</v>
          </cell>
          <cell r="AN92">
            <v>0</v>
          </cell>
          <cell r="AP92">
            <v>0</v>
          </cell>
          <cell r="AQ92">
            <v>9785011</v>
          </cell>
          <cell r="AR92">
            <v>9785011</v>
          </cell>
          <cell r="AS92">
            <v>557550</v>
          </cell>
          <cell r="AT92">
            <v>1141650</v>
          </cell>
          <cell r="AU92">
            <v>26550</v>
          </cell>
          <cell r="AV92">
            <v>106200</v>
          </cell>
          <cell r="AW92">
            <v>21700000</v>
          </cell>
          <cell r="AX92">
            <v>8663761</v>
          </cell>
          <cell r="AY92">
            <v>0</v>
          </cell>
          <cell r="AZ92">
            <v>0</v>
          </cell>
          <cell r="BC92">
            <v>584100</v>
          </cell>
          <cell r="BE92">
            <v>9200911</v>
          </cell>
          <cell r="BF92">
            <v>9200911</v>
          </cell>
          <cell r="BG92" t="str">
            <v>CK</v>
          </cell>
          <cell r="BH92">
            <v>8830175863</v>
          </cell>
          <cell r="BI92" t="str">
            <v>Ngân hàng TMCP Đầu tư và Phát triển  Việt Nam (BIDV) - CN Bãi Cháy</v>
          </cell>
        </row>
        <row r="93">
          <cell r="C93" t="str">
            <v>VB00373</v>
          </cell>
          <cell r="D93" t="str">
            <v>TRẦN THỊ MỸ LINH</v>
          </cell>
          <cell r="E93" t="str">
            <v>NVBH</v>
          </cell>
          <cell r="F93" t="str">
            <v>Sơ cấp</v>
          </cell>
          <cell r="G93">
            <v>45299</v>
          </cell>
          <cell r="H93">
            <v>45360</v>
          </cell>
          <cell r="I93">
            <v>2</v>
          </cell>
          <cell r="J93" t="str">
            <v>Chính thức</v>
          </cell>
          <cell r="K93">
            <v>27</v>
          </cell>
          <cell r="L93">
            <v>26</v>
          </cell>
          <cell r="M93">
            <v>0</v>
          </cell>
          <cell r="N93">
            <v>6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26</v>
          </cell>
          <cell r="U93">
            <v>5310000</v>
          </cell>
          <cell r="V93">
            <v>700000</v>
          </cell>
          <cell r="W93">
            <v>200000</v>
          </cell>
          <cell r="X93" t="str">
            <v>-</v>
          </cell>
          <cell r="Z93">
            <v>6210000</v>
          </cell>
          <cell r="AA93">
            <v>5980000</v>
          </cell>
          <cell r="AB93">
            <v>0</v>
          </cell>
          <cell r="AC93">
            <v>0</v>
          </cell>
          <cell r="AD93">
            <v>5980000</v>
          </cell>
          <cell r="AF93">
            <v>350000</v>
          </cell>
          <cell r="AG93">
            <v>115555.55555555555</v>
          </cell>
          <cell r="AH93">
            <v>3196598.6440677969</v>
          </cell>
          <cell r="AI93">
            <v>221250</v>
          </cell>
          <cell r="AJ93">
            <v>0</v>
          </cell>
          <cell r="AK93">
            <v>0</v>
          </cell>
          <cell r="AL93">
            <v>0</v>
          </cell>
          <cell r="AN93">
            <v>0</v>
          </cell>
          <cell r="AP93">
            <v>0</v>
          </cell>
          <cell r="AQ93">
            <v>9863404</v>
          </cell>
          <cell r="AR93">
            <v>9863404</v>
          </cell>
          <cell r="AS93">
            <v>557550</v>
          </cell>
          <cell r="AT93">
            <v>1141650</v>
          </cell>
          <cell r="AU93">
            <v>26550</v>
          </cell>
          <cell r="AV93">
            <v>106200</v>
          </cell>
          <cell r="AW93">
            <v>15500000</v>
          </cell>
          <cell r="AX93">
            <v>8742154</v>
          </cell>
          <cell r="AY93">
            <v>0</v>
          </cell>
          <cell r="AZ93">
            <v>0</v>
          </cell>
          <cell r="BC93">
            <v>584100</v>
          </cell>
          <cell r="BE93">
            <v>9279304</v>
          </cell>
          <cell r="BF93">
            <v>9279304</v>
          </cell>
          <cell r="BG93" t="str">
            <v>CK</v>
          </cell>
          <cell r="BH93">
            <v>4400584291</v>
          </cell>
          <cell r="BI93" t="str">
            <v>BIDV - CN Quảng Ninh</v>
          </cell>
        </row>
        <row r="94">
          <cell r="C94" t="str">
            <v>VB00394</v>
          </cell>
          <cell r="D94" t="str">
            <v>ĐINH THỊ THƯƠNG</v>
          </cell>
          <cell r="E94" t="str">
            <v>NVBH</v>
          </cell>
          <cell r="F94" t="str">
            <v>Cao cấp</v>
          </cell>
          <cell r="G94">
            <v>45383</v>
          </cell>
          <cell r="H94">
            <v>45444</v>
          </cell>
          <cell r="I94">
            <v>2</v>
          </cell>
          <cell r="J94" t="str">
            <v>Chính thức</v>
          </cell>
          <cell r="K94">
            <v>27</v>
          </cell>
          <cell r="L94">
            <v>26</v>
          </cell>
          <cell r="M94">
            <v>0</v>
          </cell>
          <cell r="N94">
            <v>2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26</v>
          </cell>
          <cell r="U94">
            <v>5310000</v>
          </cell>
          <cell r="V94">
            <v>700000</v>
          </cell>
          <cell r="X94" t="str">
            <v>-</v>
          </cell>
          <cell r="Y94">
            <v>300000</v>
          </cell>
          <cell r="Z94">
            <v>6310000</v>
          </cell>
          <cell r="AA94">
            <v>6076296.2962962966</v>
          </cell>
          <cell r="AB94">
            <v>0</v>
          </cell>
          <cell r="AC94">
            <v>0</v>
          </cell>
          <cell r="AD94">
            <v>6076296.2962962966</v>
          </cell>
          <cell r="AF94">
            <v>350000</v>
          </cell>
          <cell r="AG94">
            <v>115555.55555555555</v>
          </cell>
          <cell r="AH94">
            <v>3096267.0508474577</v>
          </cell>
          <cell r="AI94">
            <v>73750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P94">
            <v>0</v>
          </cell>
          <cell r="AQ94">
            <v>9711869</v>
          </cell>
          <cell r="AR94">
            <v>9711869</v>
          </cell>
          <cell r="AS94">
            <v>557550</v>
          </cell>
          <cell r="AT94">
            <v>1141650</v>
          </cell>
          <cell r="AU94">
            <v>26550</v>
          </cell>
          <cell r="AV94">
            <v>106200</v>
          </cell>
          <cell r="AW94">
            <v>15500000</v>
          </cell>
          <cell r="AX94">
            <v>8638119</v>
          </cell>
          <cell r="AY94">
            <v>0</v>
          </cell>
          <cell r="AZ94">
            <v>0</v>
          </cell>
          <cell r="BC94">
            <v>584100</v>
          </cell>
          <cell r="BE94">
            <v>9127769</v>
          </cell>
          <cell r="BF94">
            <v>9127769</v>
          </cell>
          <cell r="BG94" t="str">
            <v>CK</v>
          </cell>
          <cell r="BH94">
            <v>4450429652</v>
          </cell>
          <cell r="BI94" t="str">
            <v>BIDV - CN Quang Ninh</v>
          </cell>
        </row>
        <row r="95">
          <cell r="K95">
            <v>135</v>
          </cell>
          <cell r="L95">
            <v>130</v>
          </cell>
          <cell r="M95">
            <v>0</v>
          </cell>
          <cell r="N95">
            <v>20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130</v>
          </cell>
          <cell r="U95">
            <v>27100000</v>
          </cell>
          <cell r="V95">
            <v>3500000</v>
          </cell>
          <cell r="W95">
            <v>1600000</v>
          </cell>
          <cell r="X95">
            <v>300000</v>
          </cell>
          <cell r="Y95">
            <v>700000</v>
          </cell>
          <cell r="Z95">
            <v>33200000</v>
          </cell>
          <cell r="AA95">
            <v>31970370.370370373</v>
          </cell>
          <cell r="AB95">
            <v>0</v>
          </cell>
          <cell r="AC95">
            <v>0</v>
          </cell>
          <cell r="AD95">
            <v>31970370.370370373</v>
          </cell>
          <cell r="AE95">
            <v>0</v>
          </cell>
          <cell r="AF95">
            <v>1750000</v>
          </cell>
          <cell r="AG95">
            <v>462222.22222222219</v>
          </cell>
          <cell r="AH95">
            <v>18821552</v>
          </cell>
          <cell r="AI95">
            <v>760416.66666666674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P95">
            <v>0</v>
          </cell>
          <cell r="AQ95">
            <v>53764562</v>
          </cell>
          <cell r="AR95">
            <v>53764562</v>
          </cell>
          <cell r="AS95">
            <v>2845500</v>
          </cell>
          <cell r="AT95">
            <v>5826500</v>
          </cell>
          <cell r="AU95">
            <v>135500</v>
          </cell>
          <cell r="AV95">
            <v>542000</v>
          </cell>
          <cell r="AW95">
            <v>89900000</v>
          </cell>
          <cell r="AX95">
            <v>47204145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2981000</v>
          </cell>
          <cell r="BD95">
            <v>0</v>
          </cell>
          <cell r="BE95">
            <v>50783562</v>
          </cell>
          <cell r="BF95">
            <v>50783562</v>
          </cell>
          <cell r="BG95">
            <v>0</v>
          </cell>
        </row>
        <row r="96">
          <cell r="C96" t="str">
            <v>VB00290</v>
          </cell>
          <cell r="D96" t="str">
            <v>LƯƠNG THỊ MỸ LỤA</v>
          </cell>
          <cell r="E96" t="str">
            <v>Liên CHT</v>
          </cell>
          <cell r="G96">
            <v>44995</v>
          </cell>
          <cell r="H96">
            <v>45056</v>
          </cell>
          <cell r="I96">
            <v>3</v>
          </cell>
          <cell r="J96" t="str">
            <v>Chính thức</v>
          </cell>
          <cell r="K96">
            <v>27</v>
          </cell>
          <cell r="L96">
            <v>26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26</v>
          </cell>
          <cell r="U96">
            <v>5860000</v>
          </cell>
          <cell r="V96">
            <v>700000</v>
          </cell>
          <cell r="W96">
            <v>1500000</v>
          </cell>
          <cell r="X96">
            <v>1050000</v>
          </cell>
          <cell r="Y96">
            <v>400000</v>
          </cell>
          <cell r="Z96">
            <v>9510000</v>
          </cell>
          <cell r="AA96">
            <v>9157777.777777778</v>
          </cell>
          <cell r="AB96">
            <v>0</v>
          </cell>
          <cell r="AC96">
            <v>0</v>
          </cell>
          <cell r="AD96">
            <v>9157777.777777778</v>
          </cell>
          <cell r="AF96">
            <v>350000</v>
          </cell>
          <cell r="AH96">
            <v>13305485.935909092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N96">
            <v>0</v>
          </cell>
          <cell r="AP96">
            <v>0</v>
          </cell>
          <cell r="AQ96">
            <v>22813264</v>
          </cell>
          <cell r="AR96">
            <v>22813264</v>
          </cell>
          <cell r="AS96">
            <v>615300</v>
          </cell>
          <cell r="AT96">
            <v>1259900</v>
          </cell>
          <cell r="AU96">
            <v>29300</v>
          </cell>
          <cell r="AV96">
            <v>117200</v>
          </cell>
          <cell r="AW96">
            <v>15500000</v>
          </cell>
          <cell r="AX96">
            <v>20213264</v>
          </cell>
          <cell r="AY96">
            <v>4097964</v>
          </cell>
          <cell r="AZ96">
            <v>204898</v>
          </cell>
          <cell r="BC96">
            <v>849498</v>
          </cell>
          <cell r="BE96">
            <v>21963766</v>
          </cell>
          <cell r="BF96">
            <v>21963766</v>
          </cell>
          <cell r="BG96" t="str">
            <v>CK</v>
          </cell>
          <cell r="BH96" t="str">
            <v>6020483893</v>
          </cell>
          <cell r="BI96" t="str">
            <v>Ngân hàng TMCP Đầu tư và Phát triển  Việt Nam (BIDV) - CN Khánh Hòa</v>
          </cell>
        </row>
        <row r="97">
          <cell r="C97" t="str">
            <v>VB00295</v>
          </cell>
          <cell r="D97" t="str">
            <v>TRẦN THỊ KIM KHÁNH</v>
          </cell>
          <cell r="E97" t="str">
            <v>NVBH</v>
          </cell>
          <cell r="F97" t="str">
            <v>Trung cấp</v>
          </cell>
          <cell r="G97">
            <v>45010</v>
          </cell>
          <cell r="H97">
            <v>45071</v>
          </cell>
          <cell r="I97">
            <v>3</v>
          </cell>
          <cell r="J97" t="str">
            <v>Chính thức</v>
          </cell>
          <cell r="K97">
            <v>27</v>
          </cell>
          <cell r="L97">
            <v>26</v>
          </cell>
          <cell r="M97">
            <v>0</v>
          </cell>
          <cell r="N97">
            <v>14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26</v>
          </cell>
          <cell r="U97">
            <v>5310000</v>
          </cell>
          <cell r="V97">
            <v>700000</v>
          </cell>
          <cell r="W97">
            <v>200000</v>
          </cell>
          <cell r="X97">
            <v>0</v>
          </cell>
          <cell r="Y97">
            <v>0</v>
          </cell>
          <cell r="Z97">
            <v>6210000</v>
          </cell>
          <cell r="AA97">
            <v>5980000</v>
          </cell>
          <cell r="AB97">
            <v>0</v>
          </cell>
          <cell r="AC97">
            <v>0</v>
          </cell>
          <cell r="AD97">
            <v>5980000</v>
          </cell>
          <cell r="AF97">
            <v>350000</v>
          </cell>
          <cell r="AH97">
            <v>6877009.2605454559</v>
          </cell>
          <cell r="AI97">
            <v>516249.99999999994</v>
          </cell>
          <cell r="AJ97">
            <v>0</v>
          </cell>
          <cell r="AK97">
            <v>0</v>
          </cell>
          <cell r="AL97">
            <v>0</v>
          </cell>
          <cell r="AN97">
            <v>0</v>
          </cell>
          <cell r="AP97">
            <v>0</v>
          </cell>
          <cell r="AQ97">
            <v>13723259</v>
          </cell>
          <cell r="AR97">
            <v>13723259</v>
          </cell>
          <cell r="AS97">
            <v>557550</v>
          </cell>
          <cell r="AT97">
            <v>1141650</v>
          </cell>
          <cell r="AU97">
            <v>26550</v>
          </cell>
          <cell r="AV97">
            <v>106200</v>
          </cell>
          <cell r="AW97">
            <v>15500000</v>
          </cell>
          <cell r="AX97">
            <v>12307009</v>
          </cell>
          <cell r="AY97">
            <v>0</v>
          </cell>
          <cell r="AZ97">
            <v>0</v>
          </cell>
          <cell r="BC97">
            <v>584100</v>
          </cell>
          <cell r="BE97">
            <v>13139159</v>
          </cell>
          <cell r="BF97">
            <v>13139159</v>
          </cell>
          <cell r="BG97" t="str">
            <v>CK</v>
          </cell>
          <cell r="BH97" t="str">
            <v>6020488472</v>
          </cell>
          <cell r="BI97" t="str">
            <v>Ngân hàng TMCP Đầu tư và Phát triển  Việt Nam (BIDV) - CN Khánh Hòa</v>
          </cell>
        </row>
        <row r="98">
          <cell r="C98" t="str">
            <v>VB00296</v>
          </cell>
          <cell r="D98" t="str">
            <v>PHÙNG THỊ TUYẾT NHUNG</v>
          </cell>
          <cell r="E98" t="str">
            <v>NVBH</v>
          </cell>
          <cell r="F98" t="str">
            <v>Trung cấp</v>
          </cell>
          <cell r="G98">
            <v>45011</v>
          </cell>
          <cell r="H98">
            <v>45072</v>
          </cell>
          <cell r="I98">
            <v>3</v>
          </cell>
          <cell r="J98" t="str">
            <v>Chính thức</v>
          </cell>
          <cell r="K98">
            <v>27</v>
          </cell>
          <cell r="L98">
            <v>24</v>
          </cell>
          <cell r="M98">
            <v>0</v>
          </cell>
          <cell r="N98">
            <v>10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24</v>
          </cell>
          <cell r="U98">
            <v>5310000</v>
          </cell>
          <cell r="V98">
            <v>700000</v>
          </cell>
          <cell r="W98">
            <v>200000</v>
          </cell>
          <cell r="X98">
            <v>0</v>
          </cell>
          <cell r="Y98">
            <v>0</v>
          </cell>
          <cell r="Z98">
            <v>6210000</v>
          </cell>
          <cell r="AA98">
            <v>5520000</v>
          </cell>
          <cell r="AB98">
            <v>0</v>
          </cell>
          <cell r="AC98">
            <v>0</v>
          </cell>
          <cell r="AD98">
            <v>5520000</v>
          </cell>
          <cell r="AF98">
            <v>0</v>
          </cell>
          <cell r="AH98">
            <v>6642854.998181819</v>
          </cell>
          <cell r="AI98">
            <v>368750</v>
          </cell>
          <cell r="AJ98">
            <v>0</v>
          </cell>
          <cell r="AK98">
            <v>0</v>
          </cell>
          <cell r="AL98">
            <v>0</v>
          </cell>
          <cell r="AN98">
            <v>0</v>
          </cell>
          <cell r="AP98">
            <v>0</v>
          </cell>
          <cell r="AQ98">
            <v>12531605</v>
          </cell>
          <cell r="AR98">
            <v>12531605</v>
          </cell>
          <cell r="AS98">
            <v>557550</v>
          </cell>
          <cell r="AT98">
            <v>1141650</v>
          </cell>
          <cell r="AU98">
            <v>26550</v>
          </cell>
          <cell r="AV98">
            <v>106200</v>
          </cell>
          <cell r="AW98">
            <v>15500000</v>
          </cell>
          <cell r="AX98">
            <v>11262855</v>
          </cell>
          <cell r="AY98">
            <v>0</v>
          </cell>
          <cell r="AZ98">
            <v>0</v>
          </cell>
          <cell r="BC98">
            <v>584100</v>
          </cell>
          <cell r="BE98">
            <v>11947505</v>
          </cell>
          <cell r="BF98">
            <v>11947505</v>
          </cell>
          <cell r="BG98" t="str">
            <v>CK</v>
          </cell>
          <cell r="BH98" t="str">
            <v>6011678002</v>
          </cell>
          <cell r="BI98" t="str">
            <v>Ngân hàng TMCP Đầu tư và Phát triển  Việt Nam (BIDV) - CN Khánh Hòa</v>
          </cell>
        </row>
        <row r="99">
          <cell r="C99" t="str">
            <v>VB00310</v>
          </cell>
          <cell r="D99" t="str">
            <v>KHỔNG THỊ MỸ DIỄM</v>
          </cell>
          <cell r="E99" t="str">
            <v>NVBH</v>
          </cell>
          <cell r="F99" t="str">
            <v>Trung cấp</v>
          </cell>
          <cell r="G99">
            <v>45068</v>
          </cell>
          <cell r="H99">
            <v>45129</v>
          </cell>
          <cell r="I99">
            <v>3</v>
          </cell>
          <cell r="J99" t="str">
            <v>Chính thức</v>
          </cell>
          <cell r="K99">
            <v>27</v>
          </cell>
          <cell r="L99">
            <v>26</v>
          </cell>
          <cell r="M99">
            <v>0</v>
          </cell>
          <cell r="N99">
            <v>6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26</v>
          </cell>
          <cell r="U99">
            <v>5310000</v>
          </cell>
          <cell r="V99">
            <v>700000</v>
          </cell>
          <cell r="W99">
            <v>200000</v>
          </cell>
          <cell r="X99">
            <v>0</v>
          </cell>
          <cell r="Y99">
            <v>0</v>
          </cell>
          <cell r="Z99">
            <v>6210000</v>
          </cell>
          <cell r="AA99">
            <v>5980000</v>
          </cell>
          <cell r="AB99">
            <v>0</v>
          </cell>
          <cell r="AC99">
            <v>0</v>
          </cell>
          <cell r="AD99">
            <v>5980000</v>
          </cell>
          <cell r="AF99">
            <v>350000</v>
          </cell>
          <cell r="AH99">
            <v>5771709.1712727286</v>
          </cell>
          <cell r="AI99">
            <v>221250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P99">
            <v>0</v>
          </cell>
          <cell r="AQ99">
            <v>12322959</v>
          </cell>
          <cell r="AR99">
            <v>12322959</v>
          </cell>
          <cell r="AS99">
            <v>557550</v>
          </cell>
          <cell r="AT99">
            <v>1141650</v>
          </cell>
          <cell r="AU99">
            <v>26550</v>
          </cell>
          <cell r="AV99">
            <v>106200</v>
          </cell>
          <cell r="AW99">
            <v>15500000</v>
          </cell>
          <cell r="AX99">
            <v>11201709</v>
          </cell>
          <cell r="AY99">
            <v>0</v>
          </cell>
          <cell r="AZ99">
            <v>0</v>
          </cell>
          <cell r="BC99">
            <v>584100</v>
          </cell>
          <cell r="BE99">
            <v>11738859</v>
          </cell>
          <cell r="BF99">
            <v>11738859</v>
          </cell>
          <cell r="BG99" t="str">
            <v>CK</v>
          </cell>
          <cell r="BH99" t="str">
            <v>6011693713</v>
          </cell>
          <cell r="BI99" t="str">
            <v>Ngân hàng TMCP Đầu tư và Phát triển  Việt Nam (BIDV) - CN Nha Trang</v>
          </cell>
        </row>
        <row r="100">
          <cell r="C100" t="str">
            <v>VB00689</v>
          </cell>
          <cell r="D100" t="str">
            <v>NGUYỄN TRỌNG LƯU</v>
          </cell>
          <cell r="E100" t="str">
            <v>NVBH</v>
          </cell>
          <cell r="F100" t="str">
            <v>Sơ cấp</v>
          </cell>
          <cell r="G100">
            <v>46143</v>
          </cell>
          <cell r="H100">
            <v>46204</v>
          </cell>
          <cell r="I100">
            <v>0</v>
          </cell>
          <cell r="J100" t="str">
            <v>Chính thức</v>
          </cell>
          <cell r="K100">
            <v>27</v>
          </cell>
          <cell r="L100">
            <v>0</v>
          </cell>
          <cell r="M100">
            <v>26</v>
          </cell>
          <cell r="N100">
            <v>12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26</v>
          </cell>
          <cell r="U100">
            <v>5310000</v>
          </cell>
          <cell r="V100">
            <v>700000</v>
          </cell>
          <cell r="W100">
            <v>100000</v>
          </cell>
          <cell r="X100">
            <v>0</v>
          </cell>
          <cell r="Y100">
            <v>0</v>
          </cell>
          <cell r="Z100">
            <v>6110000</v>
          </cell>
          <cell r="AA100">
            <v>0</v>
          </cell>
          <cell r="AB100">
            <v>5001148.1481481483</v>
          </cell>
          <cell r="AC100">
            <v>0</v>
          </cell>
          <cell r="AD100">
            <v>5001148.1481481483</v>
          </cell>
          <cell r="AF100">
            <v>350000</v>
          </cell>
          <cell r="AH100">
            <v>6538336.3090909105</v>
          </cell>
          <cell r="AI100">
            <v>442500</v>
          </cell>
          <cell r="AJ100">
            <v>0</v>
          </cell>
          <cell r="AK100">
            <v>0</v>
          </cell>
          <cell r="AL100">
            <v>0</v>
          </cell>
          <cell r="AN100">
            <v>0</v>
          </cell>
          <cell r="AP100">
            <v>0</v>
          </cell>
          <cell r="AQ100">
            <v>12331984</v>
          </cell>
          <cell r="AR100">
            <v>12331984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15500000</v>
          </cell>
          <cell r="AX100">
            <v>11089484</v>
          </cell>
          <cell r="AY100">
            <v>0</v>
          </cell>
          <cell r="AZ100">
            <v>0</v>
          </cell>
          <cell r="BB100">
            <v>600000</v>
          </cell>
          <cell r="BC100">
            <v>600000</v>
          </cell>
          <cell r="BE100">
            <v>11731984</v>
          </cell>
          <cell r="BF100">
            <v>11731984</v>
          </cell>
          <cell r="BG100" t="str">
            <v>CK</v>
          </cell>
          <cell r="BH100">
            <v>8812618764</v>
          </cell>
          <cell r="BI100" t="str">
            <v>BIDV - CN Tây Hồ</v>
          </cell>
        </row>
        <row r="101">
          <cell r="K101">
            <v>135</v>
          </cell>
          <cell r="L101">
            <v>102</v>
          </cell>
          <cell r="M101">
            <v>26</v>
          </cell>
          <cell r="N101">
            <v>42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128</v>
          </cell>
          <cell r="U101">
            <v>27100000</v>
          </cell>
          <cell r="V101">
            <v>3500000</v>
          </cell>
          <cell r="W101">
            <v>2200000</v>
          </cell>
          <cell r="X101">
            <v>1050000</v>
          </cell>
          <cell r="Y101">
            <v>400000</v>
          </cell>
          <cell r="Z101">
            <v>34250000</v>
          </cell>
          <cell r="AA101">
            <v>26637777.777777776</v>
          </cell>
          <cell r="AB101">
            <v>5001148.1481481483</v>
          </cell>
          <cell r="AC101">
            <v>0</v>
          </cell>
          <cell r="AD101">
            <v>31638925.925925925</v>
          </cell>
          <cell r="AE101">
            <v>0</v>
          </cell>
          <cell r="AF101">
            <v>1400000</v>
          </cell>
          <cell r="AG101">
            <v>0</v>
          </cell>
          <cell r="AH101">
            <v>39135395.675000004</v>
          </cell>
          <cell r="AI101">
            <v>1548750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P101">
            <v>0</v>
          </cell>
          <cell r="AQ101">
            <v>73723071</v>
          </cell>
          <cell r="AR101">
            <v>73723071</v>
          </cell>
          <cell r="AS101">
            <v>2287950</v>
          </cell>
          <cell r="AT101">
            <v>4684850</v>
          </cell>
          <cell r="AU101">
            <v>108950</v>
          </cell>
          <cell r="AV101">
            <v>435800</v>
          </cell>
          <cell r="AW101">
            <v>77500000</v>
          </cell>
          <cell r="AX101">
            <v>66074321</v>
          </cell>
          <cell r="AY101">
            <v>4097964</v>
          </cell>
          <cell r="AZ101">
            <v>204898</v>
          </cell>
          <cell r="BA101">
            <v>0</v>
          </cell>
          <cell r="BB101">
            <v>600000</v>
          </cell>
          <cell r="BC101">
            <v>3201798</v>
          </cell>
          <cell r="BD101">
            <v>0</v>
          </cell>
          <cell r="BE101">
            <v>70521273</v>
          </cell>
          <cell r="BF101">
            <v>70521273</v>
          </cell>
        </row>
        <row r="102">
          <cell r="C102" t="str">
            <v>VB00308</v>
          </cell>
          <cell r="D102" t="str">
            <v>LƯƠNG THỊ LAN TƯỜNG</v>
          </cell>
          <cell r="E102" t="str">
            <v>CHT</v>
          </cell>
          <cell r="F102" t="str">
            <v>Cao cấp</v>
          </cell>
          <cell r="G102">
            <v>45068</v>
          </cell>
          <cell r="H102">
            <v>45129</v>
          </cell>
          <cell r="I102">
            <v>3</v>
          </cell>
          <cell r="J102" t="str">
            <v>Chính thức</v>
          </cell>
          <cell r="K102">
            <v>27</v>
          </cell>
          <cell r="L102">
            <v>26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26</v>
          </cell>
          <cell r="U102">
            <v>5860000</v>
          </cell>
          <cell r="V102">
            <v>700000</v>
          </cell>
          <cell r="W102">
            <v>1000000</v>
          </cell>
          <cell r="X102">
            <v>1100000</v>
          </cell>
          <cell r="Y102">
            <v>400000</v>
          </cell>
          <cell r="Z102">
            <v>9060000</v>
          </cell>
          <cell r="AA102">
            <v>8724444.444444444</v>
          </cell>
          <cell r="AB102">
            <v>0</v>
          </cell>
          <cell r="AC102">
            <v>0</v>
          </cell>
          <cell r="AD102">
            <v>8724444.444444444</v>
          </cell>
          <cell r="AF102">
            <v>350000</v>
          </cell>
          <cell r="AG102">
            <v>250000</v>
          </cell>
          <cell r="AH102">
            <v>4368577.1587301586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>
            <v>0</v>
          </cell>
          <cell r="AP102">
            <v>0</v>
          </cell>
          <cell r="AQ102">
            <v>13693022</v>
          </cell>
          <cell r="AR102">
            <v>13693022</v>
          </cell>
          <cell r="AS102">
            <v>615300</v>
          </cell>
          <cell r="AT102">
            <v>1259900</v>
          </cell>
          <cell r="AU102">
            <v>29300</v>
          </cell>
          <cell r="AV102">
            <v>117200</v>
          </cell>
          <cell r="AW102">
            <v>15500000</v>
          </cell>
          <cell r="AX102">
            <v>11593022</v>
          </cell>
          <cell r="AY102">
            <v>0</v>
          </cell>
          <cell r="AZ102">
            <v>0</v>
          </cell>
          <cell r="BC102">
            <v>644600</v>
          </cell>
          <cell r="BE102">
            <v>13048422</v>
          </cell>
          <cell r="BF102">
            <v>13048422</v>
          </cell>
          <cell r="BG102" t="str">
            <v>CK</v>
          </cell>
          <cell r="BH102" t="str">
            <v>1320690989</v>
          </cell>
          <cell r="BI102" t="str">
            <v>BIDV - CN Nam Sài Gòn</v>
          </cell>
        </row>
        <row r="103">
          <cell r="C103" t="str">
            <v>VB00391</v>
          </cell>
          <cell r="D103" t="str">
            <v>TĂNG THỊ MỘNG TRINH</v>
          </cell>
          <cell r="E103" t="str">
            <v>NVBH</v>
          </cell>
          <cell r="F103" t="str">
            <v>Trung cấp</v>
          </cell>
          <cell r="G103">
            <v>45378</v>
          </cell>
          <cell r="H103">
            <v>45439</v>
          </cell>
          <cell r="I103">
            <v>2</v>
          </cell>
          <cell r="J103" t="str">
            <v>Chính thức</v>
          </cell>
          <cell r="K103">
            <v>27</v>
          </cell>
          <cell r="L103">
            <v>26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26</v>
          </cell>
          <cell r="U103">
            <v>5310000</v>
          </cell>
          <cell r="V103">
            <v>700000</v>
          </cell>
          <cell r="W103">
            <v>150000</v>
          </cell>
          <cell r="X103">
            <v>400000</v>
          </cell>
          <cell r="Y103">
            <v>0</v>
          </cell>
          <cell r="Z103">
            <v>6560000</v>
          </cell>
          <cell r="AA103">
            <v>6317037.0370370364</v>
          </cell>
          <cell r="AB103">
            <v>0</v>
          </cell>
          <cell r="AC103">
            <v>0</v>
          </cell>
          <cell r="AD103">
            <v>6317037.0370370364</v>
          </cell>
          <cell r="AF103">
            <v>350000</v>
          </cell>
          <cell r="AG103">
            <v>250000</v>
          </cell>
          <cell r="AH103">
            <v>2513044.1605079365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N103">
            <v>0</v>
          </cell>
          <cell r="AP103">
            <v>0</v>
          </cell>
          <cell r="AQ103">
            <v>9430081</v>
          </cell>
          <cell r="AR103">
            <v>9430081</v>
          </cell>
          <cell r="AS103">
            <v>557550</v>
          </cell>
          <cell r="AT103">
            <v>1141650</v>
          </cell>
          <cell r="AU103">
            <v>26550</v>
          </cell>
          <cell r="AV103">
            <v>106200</v>
          </cell>
          <cell r="AW103">
            <v>15500000</v>
          </cell>
          <cell r="AX103">
            <v>8580081</v>
          </cell>
          <cell r="AY103">
            <v>0</v>
          </cell>
          <cell r="AZ103">
            <v>0</v>
          </cell>
          <cell r="BC103">
            <v>584100</v>
          </cell>
          <cell r="BE103">
            <v>8845981</v>
          </cell>
          <cell r="BF103">
            <v>8845981</v>
          </cell>
          <cell r="BG103" t="str">
            <v>CK</v>
          </cell>
          <cell r="BH103">
            <v>8801944643</v>
          </cell>
          <cell r="BI103" t="str">
            <v>BIDV - CN Bà Chiểu</v>
          </cell>
        </row>
        <row r="104">
          <cell r="C104" t="str">
            <v>VB00434</v>
          </cell>
          <cell r="D104" t="str">
            <v>NGUYỄN THỊ THANH TRÚC</v>
          </cell>
          <cell r="E104" t="str">
            <v>NVBH</v>
          </cell>
          <cell r="F104" t="str">
            <v>Trung cấp</v>
          </cell>
          <cell r="G104">
            <v>45498</v>
          </cell>
          <cell r="H104">
            <v>45560</v>
          </cell>
          <cell r="I104">
            <v>2</v>
          </cell>
          <cell r="J104" t="str">
            <v>Chính thức</v>
          </cell>
          <cell r="K104">
            <v>27</v>
          </cell>
          <cell r="L104">
            <v>26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26</v>
          </cell>
          <cell r="U104">
            <v>5310000</v>
          </cell>
          <cell r="V104">
            <v>700000</v>
          </cell>
          <cell r="W104">
            <v>150000</v>
          </cell>
          <cell r="X104">
            <v>400000</v>
          </cell>
          <cell r="Y104">
            <v>0</v>
          </cell>
          <cell r="Z104">
            <v>6560000</v>
          </cell>
          <cell r="AA104">
            <v>6317037.0370370364</v>
          </cell>
          <cell r="AB104">
            <v>0</v>
          </cell>
          <cell r="AC104">
            <v>0</v>
          </cell>
          <cell r="AD104">
            <v>6317037.0370370364</v>
          </cell>
          <cell r="AF104">
            <v>350000</v>
          </cell>
          <cell r="AG104">
            <v>250000</v>
          </cell>
          <cell r="AH104">
            <v>3010683.7379047619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P104">
            <v>0</v>
          </cell>
          <cell r="AQ104">
            <v>9927721</v>
          </cell>
          <cell r="AR104">
            <v>9927721</v>
          </cell>
          <cell r="AS104">
            <v>557550</v>
          </cell>
          <cell r="AT104">
            <v>1141650</v>
          </cell>
          <cell r="AU104">
            <v>26550</v>
          </cell>
          <cell r="AV104">
            <v>106200</v>
          </cell>
          <cell r="AW104">
            <v>15500000</v>
          </cell>
          <cell r="AX104">
            <v>9077721</v>
          </cell>
          <cell r="AY104">
            <v>0</v>
          </cell>
          <cell r="AZ104">
            <v>0</v>
          </cell>
          <cell r="BC104">
            <v>584100</v>
          </cell>
          <cell r="BE104">
            <v>9343621</v>
          </cell>
          <cell r="BF104">
            <v>9343621</v>
          </cell>
          <cell r="BG104" t="str">
            <v>CK</v>
          </cell>
          <cell r="BH104">
            <v>8822894853</v>
          </cell>
          <cell r="BI104" t="str">
            <v>BIDV</v>
          </cell>
        </row>
        <row r="105">
          <cell r="C105" t="str">
            <v>VB00562</v>
          </cell>
          <cell r="D105" t="str">
            <v>TRẦN THỊ THANH TRANG</v>
          </cell>
          <cell r="E105" t="str">
            <v>NVBH</v>
          </cell>
          <cell r="F105" t="str">
            <v>Trung cấp</v>
          </cell>
          <cell r="G105">
            <v>45754</v>
          </cell>
          <cell r="H105">
            <v>45815</v>
          </cell>
          <cell r="I105">
            <v>1</v>
          </cell>
          <cell r="J105" t="str">
            <v>Chính thức</v>
          </cell>
          <cell r="K105">
            <v>27</v>
          </cell>
          <cell r="L105">
            <v>26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26</v>
          </cell>
          <cell r="U105">
            <v>5310000</v>
          </cell>
          <cell r="V105">
            <v>700000</v>
          </cell>
          <cell r="W105">
            <v>150000</v>
          </cell>
          <cell r="X105">
            <v>400000</v>
          </cell>
          <cell r="Y105">
            <v>0</v>
          </cell>
          <cell r="Z105">
            <v>6560000</v>
          </cell>
          <cell r="AA105">
            <v>6317037.0370370364</v>
          </cell>
          <cell r="AB105">
            <v>0</v>
          </cell>
          <cell r="AC105">
            <v>0</v>
          </cell>
          <cell r="AD105">
            <v>6317037.0370370364</v>
          </cell>
          <cell r="AF105">
            <v>350000</v>
          </cell>
          <cell r="AG105">
            <v>250000</v>
          </cell>
          <cell r="AH105">
            <v>3288749.2576507935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N105">
            <v>0</v>
          </cell>
          <cell r="AP105">
            <v>0</v>
          </cell>
          <cell r="AQ105">
            <v>10205786</v>
          </cell>
          <cell r="AR105">
            <v>10205786</v>
          </cell>
          <cell r="AS105">
            <v>557550</v>
          </cell>
          <cell r="AT105">
            <v>1141650</v>
          </cell>
          <cell r="AU105">
            <v>26550</v>
          </cell>
          <cell r="AV105">
            <v>106200</v>
          </cell>
          <cell r="AW105">
            <v>15500000</v>
          </cell>
          <cell r="AX105">
            <v>9355786</v>
          </cell>
          <cell r="AY105">
            <v>0</v>
          </cell>
          <cell r="AZ105">
            <v>0</v>
          </cell>
          <cell r="BC105">
            <v>584100</v>
          </cell>
          <cell r="BE105">
            <v>9621686</v>
          </cell>
          <cell r="BF105">
            <v>9621686</v>
          </cell>
          <cell r="BG105" t="str">
            <v>CK</v>
          </cell>
          <cell r="BH105">
            <v>8854937012</v>
          </cell>
          <cell r="BI105" t="str">
            <v>BIDV</v>
          </cell>
        </row>
        <row r="106">
          <cell r="C106" t="str">
            <v>VB00686</v>
          </cell>
          <cell r="D106" t="str">
            <v>NGUYỄN THỤY THẢO MY</v>
          </cell>
          <cell r="E106" t="str">
            <v>NVBH</v>
          </cell>
          <cell r="F106" t="str">
            <v>Sơ cấp</v>
          </cell>
          <cell r="G106">
            <v>46139</v>
          </cell>
          <cell r="H106">
            <v>46200</v>
          </cell>
          <cell r="I106">
            <v>0</v>
          </cell>
          <cell r="J106" t="str">
            <v>Chính thức</v>
          </cell>
          <cell r="K106">
            <v>27</v>
          </cell>
          <cell r="L106">
            <v>4</v>
          </cell>
          <cell r="M106">
            <v>22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26</v>
          </cell>
          <cell r="U106">
            <v>5310000</v>
          </cell>
          <cell r="V106">
            <v>700000</v>
          </cell>
          <cell r="W106">
            <v>170000</v>
          </cell>
          <cell r="X106">
            <v>0</v>
          </cell>
          <cell r="Y106">
            <v>0</v>
          </cell>
          <cell r="Z106">
            <v>6180000</v>
          </cell>
          <cell r="AA106">
            <v>915555.5555555555</v>
          </cell>
          <cell r="AB106">
            <v>4280222.222222222</v>
          </cell>
          <cell r="AC106">
            <v>0</v>
          </cell>
          <cell r="AD106">
            <v>5195777.777777778</v>
          </cell>
          <cell r="AF106">
            <v>350000</v>
          </cell>
          <cell r="AG106">
            <v>260000</v>
          </cell>
          <cell r="AH106">
            <v>2003048.2704761904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N106">
            <v>0</v>
          </cell>
          <cell r="AP106">
            <v>0</v>
          </cell>
          <cell r="AQ106">
            <v>7808826</v>
          </cell>
          <cell r="AR106">
            <v>7808826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15500000</v>
          </cell>
          <cell r="AX106">
            <v>6938826</v>
          </cell>
          <cell r="AY106">
            <v>0</v>
          </cell>
          <cell r="AZ106">
            <v>0</v>
          </cell>
          <cell r="BC106">
            <v>0</v>
          </cell>
          <cell r="BE106">
            <v>7808826</v>
          </cell>
          <cell r="BF106">
            <v>7808826</v>
          </cell>
          <cell r="BG106" t="str">
            <v>CK</v>
          </cell>
          <cell r="BH106">
            <v>8878770988</v>
          </cell>
          <cell r="BI106" t="str">
            <v>BIDV</v>
          </cell>
        </row>
        <row r="107">
          <cell r="K107">
            <v>135</v>
          </cell>
          <cell r="L107">
            <v>108</v>
          </cell>
          <cell r="M107">
            <v>22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130</v>
          </cell>
          <cell r="U107">
            <v>27100000</v>
          </cell>
          <cell r="V107">
            <v>3500000</v>
          </cell>
          <cell r="W107">
            <v>1620000</v>
          </cell>
          <cell r="X107">
            <v>2300000</v>
          </cell>
          <cell r="Y107">
            <v>400000</v>
          </cell>
          <cell r="Z107">
            <v>34920000</v>
          </cell>
          <cell r="AA107">
            <v>28591111.111111112</v>
          </cell>
          <cell r="AB107">
            <v>4280222.222222222</v>
          </cell>
          <cell r="AC107">
            <v>0</v>
          </cell>
          <cell r="AD107">
            <v>32871333.333333336</v>
          </cell>
          <cell r="AE107">
            <v>0</v>
          </cell>
          <cell r="AF107">
            <v>1750000</v>
          </cell>
          <cell r="AG107">
            <v>1260000</v>
          </cell>
          <cell r="AH107">
            <v>15184102.58526984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51065436</v>
          </cell>
          <cell r="AR107">
            <v>51065436</v>
          </cell>
          <cell r="AS107">
            <v>2287950</v>
          </cell>
          <cell r="AT107">
            <v>4684850</v>
          </cell>
          <cell r="AU107">
            <v>108950</v>
          </cell>
          <cell r="AV107">
            <v>435800</v>
          </cell>
          <cell r="AW107">
            <v>77500000</v>
          </cell>
          <cell r="AX107">
            <v>45545436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2396900</v>
          </cell>
          <cell r="BD107">
            <v>0</v>
          </cell>
          <cell r="BE107">
            <v>48668536</v>
          </cell>
          <cell r="BF107">
            <v>48668536</v>
          </cell>
          <cell r="BG107" t="str">
            <v>CK</v>
          </cell>
        </row>
        <row r="108">
          <cell r="C108" t="str">
            <v>VB00480</v>
          </cell>
          <cell r="D108" t="str">
            <v>NGUYỄN THANH PHƯƠNG</v>
          </cell>
          <cell r="E108" t="str">
            <v>CHT</v>
          </cell>
          <cell r="F108" t="str">
            <v>Cao cấp</v>
          </cell>
          <cell r="G108">
            <v>45611</v>
          </cell>
          <cell r="H108">
            <v>45672</v>
          </cell>
          <cell r="I108">
            <v>1</v>
          </cell>
          <cell r="J108" t="str">
            <v>Chính thức</v>
          </cell>
          <cell r="K108">
            <v>27</v>
          </cell>
          <cell r="L108">
            <v>26</v>
          </cell>
          <cell r="M108">
            <v>0</v>
          </cell>
          <cell r="N108">
            <v>31</v>
          </cell>
          <cell r="O108">
            <v>0</v>
          </cell>
          <cell r="P108">
            <v>0</v>
          </cell>
          <cell r="Q108">
            <v>1</v>
          </cell>
          <cell r="R108">
            <v>0</v>
          </cell>
          <cell r="S108">
            <v>0</v>
          </cell>
          <cell r="T108">
            <v>26</v>
          </cell>
          <cell r="U108">
            <v>5860000</v>
          </cell>
          <cell r="V108">
            <v>700000</v>
          </cell>
          <cell r="W108">
            <v>1000000</v>
          </cell>
          <cell r="X108">
            <v>1100000</v>
          </cell>
          <cell r="Y108">
            <v>400000</v>
          </cell>
          <cell r="Z108">
            <v>9060000</v>
          </cell>
          <cell r="AA108">
            <v>8724444.444444444</v>
          </cell>
          <cell r="AB108">
            <v>0</v>
          </cell>
          <cell r="AC108">
            <v>0</v>
          </cell>
          <cell r="AD108">
            <v>8724444.444444444</v>
          </cell>
          <cell r="AF108">
            <v>350000</v>
          </cell>
          <cell r="AH108">
            <v>4115715.0000000005</v>
          </cell>
          <cell r="AI108">
            <v>1261527.7777777778</v>
          </cell>
          <cell r="AJ108">
            <v>0</v>
          </cell>
          <cell r="AK108">
            <v>0</v>
          </cell>
          <cell r="AL108">
            <v>54259.259259259263</v>
          </cell>
          <cell r="AN108">
            <v>1000000</v>
          </cell>
          <cell r="AP108">
            <v>0</v>
          </cell>
          <cell r="AQ108">
            <v>15505946</v>
          </cell>
          <cell r="AR108">
            <v>15505946</v>
          </cell>
          <cell r="AS108">
            <v>615300</v>
          </cell>
          <cell r="AT108">
            <v>1259900</v>
          </cell>
          <cell r="AU108">
            <v>29300</v>
          </cell>
          <cell r="AV108">
            <v>117200</v>
          </cell>
          <cell r="AW108">
            <v>15500000</v>
          </cell>
          <cell r="AX108">
            <v>12090159</v>
          </cell>
          <cell r="AY108">
            <v>0</v>
          </cell>
          <cell r="AZ108">
            <v>0</v>
          </cell>
          <cell r="BC108">
            <v>644600</v>
          </cell>
          <cell r="BE108">
            <v>14861346</v>
          </cell>
          <cell r="BF108">
            <v>13861346</v>
          </cell>
          <cell r="BG108" t="str">
            <v>CK</v>
          </cell>
          <cell r="BH108">
            <v>1590267698</v>
          </cell>
          <cell r="BI108" t="str">
            <v>BIDV</v>
          </cell>
        </row>
        <row r="109">
          <cell r="C109" t="str">
            <v>VB00557</v>
          </cell>
          <cell r="D109" t="str">
            <v>NGUYỄN THẢO HIỀN</v>
          </cell>
          <cell r="E109" t="str">
            <v>NVBH</v>
          </cell>
          <cell r="F109" t="str">
            <v>Cao cấp</v>
          </cell>
          <cell r="G109">
            <v>45748</v>
          </cell>
          <cell r="H109">
            <v>45809</v>
          </cell>
          <cell r="I109">
            <v>1</v>
          </cell>
          <cell r="J109" t="str">
            <v>Chính thức</v>
          </cell>
          <cell r="K109">
            <v>27</v>
          </cell>
          <cell r="L109">
            <v>26</v>
          </cell>
          <cell r="M109">
            <v>0</v>
          </cell>
          <cell r="N109">
            <v>38.5</v>
          </cell>
          <cell r="O109">
            <v>0</v>
          </cell>
          <cell r="P109">
            <v>0</v>
          </cell>
          <cell r="Q109">
            <v>1.5</v>
          </cell>
          <cell r="R109">
            <v>0</v>
          </cell>
          <cell r="S109">
            <v>0</v>
          </cell>
          <cell r="T109">
            <v>26</v>
          </cell>
          <cell r="U109">
            <v>5310000</v>
          </cell>
          <cell r="V109">
            <v>700000</v>
          </cell>
          <cell r="W109">
            <v>350000</v>
          </cell>
          <cell r="X109">
            <v>500000</v>
          </cell>
          <cell r="Z109">
            <v>6860000</v>
          </cell>
          <cell r="AA109">
            <v>6605925.9259259263</v>
          </cell>
          <cell r="AB109">
            <v>0</v>
          </cell>
          <cell r="AC109">
            <v>0</v>
          </cell>
          <cell r="AD109">
            <v>6605925.9259259263</v>
          </cell>
          <cell r="AF109">
            <v>350000</v>
          </cell>
          <cell r="AH109">
            <v>2698277.5849310993</v>
          </cell>
          <cell r="AI109">
            <v>1419687.5</v>
          </cell>
          <cell r="AJ109">
            <v>0</v>
          </cell>
          <cell r="AK109">
            <v>0</v>
          </cell>
          <cell r="AL109">
            <v>73750</v>
          </cell>
          <cell r="AN109">
            <v>1000000</v>
          </cell>
          <cell r="AP109">
            <v>0</v>
          </cell>
          <cell r="AQ109">
            <v>12147641</v>
          </cell>
          <cell r="AR109">
            <v>12147641</v>
          </cell>
          <cell r="AS109">
            <v>557550</v>
          </cell>
          <cell r="AT109">
            <v>1141650</v>
          </cell>
          <cell r="AU109">
            <v>26550</v>
          </cell>
          <cell r="AV109">
            <v>106200</v>
          </cell>
          <cell r="AW109">
            <v>15500000</v>
          </cell>
          <cell r="AX109">
            <v>9604204</v>
          </cell>
          <cell r="AY109">
            <v>0</v>
          </cell>
          <cell r="AZ109">
            <v>0</v>
          </cell>
          <cell r="BC109">
            <v>584100</v>
          </cell>
          <cell r="BE109">
            <v>11563541</v>
          </cell>
          <cell r="BF109">
            <v>10563541</v>
          </cell>
          <cell r="BG109" t="str">
            <v>CK</v>
          </cell>
          <cell r="BH109">
            <v>8894981338</v>
          </cell>
          <cell r="BI109" t="str">
            <v>BIDV</v>
          </cell>
        </row>
        <row r="110">
          <cell r="C110" t="str">
            <v>VB00558</v>
          </cell>
          <cell r="D110" t="str">
            <v>VƯƠNG THỊ HÀ LINH</v>
          </cell>
          <cell r="E110" t="str">
            <v>NVBH</v>
          </cell>
          <cell r="F110" t="str">
            <v>Cao cấp</v>
          </cell>
          <cell r="G110">
            <v>45748</v>
          </cell>
          <cell r="H110">
            <v>45809</v>
          </cell>
          <cell r="I110">
            <v>1</v>
          </cell>
          <cell r="J110" t="str">
            <v>Chính thức</v>
          </cell>
          <cell r="K110">
            <v>27</v>
          </cell>
          <cell r="L110">
            <v>26</v>
          </cell>
          <cell r="M110">
            <v>0</v>
          </cell>
          <cell r="N110">
            <v>38.5</v>
          </cell>
          <cell r="O110">
            <v>0</v>
          </cell>
          <cell r="P110">
            <v>0</v>
          </cell>
          <cell r="Q110">
            <v>1.5</v>
          </cell>
          <cell r="R110">
            <v>0</v>
          </cell>
          <cell r="S110">
            <v>0</v>
          </cell>
          <cell r="T110">
            <v>26</v>
          </cell>
          <cell r="U110">
            <v>5310000</v>
          </cell>
          <cell r="V110">
            <v>700000</v>
          </cell>
          <cell r="W110">
            <v>350000</v>
          </cell>
          <cell r="X110">
            <v>500000</v>
          </cell>
          <cell r="Z110">
            <v>6860000</v>
          </cell>
          <cell r="AA110">
            <v>6605925.9259259263</v>
          </cell>
          <cell r="AB110">
            <v>0</v>
          </cell>
          <cell r="AC110">
            <v>0</v>
          </cell>
          <cell r="AD110">
            <v>6605925.9259259263</v>
          </cell>
          <cell r="AF110">
            <v>350000</v>
          </cell>
          <cell r="AH110">
            <v>3088228.4093189253</v>
          </cell>
          <cell r="AI110">
            <v>1419687.5</v>
          </cell>
          <cell r="AJ110">
            <v>0</v>
          </cell>
          <cell r="AK110">
            <v>0</v>
          </cell>
          <cell r="AL110">
            <v>73750</v>
          </cell>
          <cell r="AN110">
            <v>1000000</v>
          </cell>
          <cell r="AP110">
            <v>0</v>
          </cell>
          <cell r="AQ110">
            <v>12537592</v>
          </cell>
          <cell r="AR110">
            <v>12537592</v>
          </cell>
          <cell r="AS110">
            <v>557550</v>
          </cell>
          <cell r="AT110">
            <v>1141650</v>
          </cell>
          <cell r="AU110">
            <v>26550</v>
          </cell>
          <cell r="AV110">
            <v>106200</v>
          </cell>
          <cell r="AW110">
            <v>15500000</v>
          </cell>
          <cell r="AX110">
            <v>9994155</v>
          </cell>
          <cell r="AY110">
            <v>0</v>
          </cell>
          <cell r="AZ110">
            <v>0</v>
          </cell>
          <cell r="BC110">
            <v>584100</v>
          </cell>
          <cell r="BE110">
            <v>11953492</v>
          </cell>
          <cell r="BF110">
            <v>10953492</v>
          </cell>
          <cell r="BG110" t="str">
            <v>CK</v>
          </cell>
          <cell r="BH110">
            <v>8825202337</v>
          </cell>
          <cell r="BI110" t="str">
            <v>BIDV</v>
          </cell>
        </row>
        <row r="111">
          <cell r="C111" t="str">
            <v>VB00578</v>
          </cell>
          <cell r="D111" t="str">
            <v>THẠCH HÀ VÂN</v>
          </cell>
          <cell r="E111" t="str">
            <v>NVBH</v>
          </cell>
          <cell r="F111" t="str">
            <v>Trung cấp</v>
          </cell>
          <cell r="G111">
            <v>45789</v>
          </cell>
          <cell r="H111">
            <v>45850</v>
          </cell>
          <cell r="I111">
            <v>1</v>
          </cell>
          <cell r="J111" t="str">
            <v>Chính thức</v>
          </cell>
          <cell r="K111">
            <v>27</v>
          </cell>
          <cell r="L111">
            <v>26</v>
          </cell>
          <cell r="M111">
            <v>0</v>
          </cell>
          <cell r="N111">
            <v>38.5</v>
          </cell>
          <cell r="O111">
            <v>0</v>
          </cell>
          <cell r="P111">
            <v>0</v>
          </cell>
          <cell r="Q111">
            <v>1.5</v>
          </cell>
          <cell r="R111">
            <v>0</v>
          </cell>
          <cell r="S111">
            <v>0</v>
          </cell>
          <cell r="T111">
            <v>26</v>
          </cell>
          <cell r="U111">
            <v>5310000</v>
          </cell>
          <cell r="V111">
            <v>700000</v>
          </cell>
          <cell r="W111">
            <v>150000</v>
          </cell>
          <cell r="X111">
            <v>400000</v>
          </cell>
          <cell r="Y111">
            <v>0</v>
          </cell>
          <cell r="Z111">
            <v>6560000</v>
          </cell>
          <cell r="AA111">
            <v>6317037.0370370364</v>
          </cell>
          <cell r="AB111">
            <v>0</v>
          </cell>
          <cell r="AC111">
            <v>0</v>
          </cell>
          <cell r="AD111">
            <v>6317037.0370370364</v>
          </cell>
          <cell r="AF111">
            <v>350000</v>
          </cell>
          <cell r="AH111">
            <v>2444924.0057499753</v>
          </cell>
          <cell r="AI111">
            <v>1419687.5</v>
          </cell>
          <cell r="AJ111">
            <v>0</v>
          </cell>
          <cell r="AK111">
            <v>0</v>
          </cell>
          <cell r="AL111">
            <v>73750</v>
          </cell>
          <cell r="AN111">
            <v>1000000</v>
          </cell>
          <cell r="AP111">
            <v>0</v>
          </cell>
          <cell r="AQ111">
            <v>11605399</v>
          </cell>
          <cell r="AR111">
            <v>11605399</v>
          </cell>
          <cell r="AS111">
            <v>557550</v>
          </cell>
          <cell r="AT111">
            <v>1141650</v>
          </cell>
          <cell r="AU111">
            <v>26550</v>
          </cell>
          <cell r="AV111">
            <v>106200</v>
          </cell>
          <cell r="AW111">
            <v>15500000</v>
          </cell>
          <cell r="AX111">
            <v>9261962</v>
          </cell>
          <cell r="AY111">
            <v>0</v>
          </cell>
          <cell r="AZ111">
            <v>0</v>
          </cell>
          <cell r="BC111">
            <v>584100</v>
          </cell>
          <cell r="BE111">
            <v>11021299</v>
          </cell>
          <cell r="BF111">
            <v>10021299</v>
          </cell>
          <cell r="BG111" t="str">
            <v>CK</v>
          </cell>
          <cell r="BH111">
            <v>8865408102</v>
          </cell>
          <cell r="BI111" t="str">
            <v>BIDV</v>
          </cell>
        </row>
        <row r="112">
          <cell r="L112">
            <v>104</v>
          </cell>
          <cell r="M112">
            <v>0</v>
          </cell>
          <cell r="N112">
            <v>146.5</v>
          </cell>
          <cell r="O112">
            <v>0</v>
          </cell>
          <cell r="P112">
            <v>0</v>
          </cell>
          <cell r="Q112">
            <v>5.5</v>
          </cell>
          <cell r="R112">
            <v>0</v>
          </cell>
          <cell r="S112">
            <v>0</v>
          </cell>
          <cell r="T112">
            <v>104</v>
          </cell>
          <cell r="U112">
            <v>21790000</v>
          </cell>
          <cell r="V112">
            <v>2800000</v>
          </cell>
          <cell r="W112">
            <v>1850000</v>
          </cell>
          <cell r="X112">
            <v>2500000</v>
          </cell>
          <cell r="Y112">
            <v>400000</v>
          </cell>
          <cell r="Z112">
            <v>29340000</v>
          </cell>
          <cell r="AA112">
            <v>28253333.333333332</v>
          </cell>
          <cell r="AB112">
            <v>0</v>
          </cell>
          <cell r="AC112">
            <v>0</v>
          </cell>
          <cell r="AD112">
            <v>28253333.333333332</v>
          </cell>
          <cell r="AE112">
            <v>0</v>
          </cell>
          <cell r="AF112">
            <v>1400000</v>
          </cell>
          <cell r="AG112">
            <v>0</v>
          </cell>
          <cell r="AH112">
            <v>12347145</v>
          </cell>
          <cell r="AI112">
            <v>5520590.277777778</v>
          </cell>
          <cell r="AJ112">
            <v>0</v>
          </cell>
          <cell r="AK112">
            <v>0</v>
          </cell>
          <cell r="AL112">
            <v>275509.25925925927</v>
          </cell>
          <cell r="AM112">
            <v>0</v>
          </cell>
          <cell r="AN112">
            <v>0</v>
          </cell>
          <cell r="AP112">
            <v>0</v>
          </cell>
          <cell r="AQ112">
            <v>51796578</v>
          </cell>
          <cell r="AR112">
            <v>51796578</v>
          </cell>
          <cell r="AS112">
            <v>2287950</v>
          </cell>
          <cell r="AT112">
            <v>4684850</v>
          </cell>
          <cell r="AU112">
            <v>108950</v>
          </cell>
          <cell r="AV112">
            <v>435800</v>
          </cell>
          <cell r="AW112">
            <v>62000000</v>
          </cell>
          <cell r="AX112">
            <v>40950480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2396900</v>
          </cell>
          <cell r="BD112">
            <v>0</v>
          </cell>
          <cell r="BE112">
            <v>49399678</v>
          </cell>
          <cell r="BF112">
            <v>49399678</v>
          </cell>
        </row>
        <row r="113">
          <cell r="C113" t="str">
            <v>VB00315</v>
          </cell>
          <cell r="D113" t="str">
            <v>CAO HUỲNH MỸ LINH</v>
          </cell>
          <cell r="E113" t="str">
            <v>CHT</v>
          </cell>
          <cell r="F113" t="str">
            <v>Cao cấp</v>
          </cell>
          <cell r="G113">
            <v>45083</v>
          </cell>
          <cell r="H113">
            <v>45144</v>
          </cell>
          <cell r="I113">
            <v>3</v>
          </cell>
          <cell r="J113" t="str">
            <v>Chính thức</v>
          </cell>
          <cell r="K113">
            <v>27</v>
          </cell>
          <cell r="L113">
            <v>26</v>
          </cell>
          <cell r="M113">
            <v>0</v>
          </cell>
          <cell r="N113">
            <v>5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26</v>
          </cell>
          <cell r="U113">
            <v>5860000</v>
          </cell>
          <cell r="V113">
            <v>700000</v>
          </cell>
          <cell r="W113">
            <v>2000000</v>
          </cell>
          <cell r="X113">
            <v>1100000</v>
          </cell>
          <cell r="Y113">
            <v>400000</v>
          </cell>
          <cell r="Z113">
            <v>10060000</v>
          </cell>
          <cell r="AA113">
            <v>9687407.4074074067</v>
          </cell>
          <cell r="AB113">
            <v>0</v>
          </cell>
          <cell r="AC113">
            <v>0</v>
          </cell>
          <cell r="AD113">
            <v>9687407.4074074067</v>
          </cell>
          <cell r="AF113">
            <v>350000</v>
          </cell>
          <cell r="AG113">
            <v>200000</v>
          </cell>
          <cell r="AH113">
            <v>2935410.625</v>
          </cell>
          <cell r="AI113">
            <v>203472.22222222222</v>
          </cell>
          <cell r="AJ113">
            <v>0</v>
          </cell>
          <cell r="AK113">
            <v>0</v>
          </cell>
          <cell r="AL113">
            <v>0</v>
          </cell>
          <cell r="AN113">
            <v>0</v>
          </cell>
          <cell r="AP113">
            <v>0</v>
          </cell>
          <cell r="AQ113">
            <v>13376290</v>
          </cell>
          <cell r="AR113">
            <v>13376290</v>
          </cell>
          <cell r="AS113">
            <v>615300</v>
          </cell>
          <cell r="AT113">
            <v>1259900</v>
          </cell>
          <cell r="AU113">
            <v>29300</v>
          </cell>
          <cell r="AV113">
            <v>117200</v>
          </cell>
          <cell r="AW113">
            <v>15500000</v>
          </cell>
          <cell r="AX113">
            <v>10072818</v>
          </cell>
          <cell r="AY113">
            <v>0</v>
          </cell>
          <cell r="AZ113">
            <v>0</v>
          </cell>
          <cell r="BC113">
            <v>644600</v>
          </cell>
          <cell r="BE113">
            <v>12731690</v>
          </cell>
          <cell r="BF113">
            <v>12731690</v>
          </cell>
          <cell r="BG113" t="str">
            <v>CK</v>
          </cell>
          <cell r="BH113" t="str">
            <v>1690951985</v>
          </cell>
          <cell r="BI113" t="str">
            <v>BIDV - CN Bà Chiểu</v>
          </cell>
        </row>
        <row r="114">
          <cell r="C114" t="str">
            <v>VB00438</v>
          </cell>
          <cell r="D114" t="str">
            <v>NGUYỄN THỊ THANH THÙY</v>
          </cell>
          <cell r="E114" t="str">
            <v>NVBH</v>
          </cell>
          <cell r="F114" t="str">
            <v>Trung cấp</v>
          </cell>
          <cell r="G114">
            <v>45505</v>
          </cell>
          <cell r="H114">
            <v>45566</v>
          </cell>
          <cell r="I114">
            <v>1</v>
          </cell>
          <cell r="J114" t="str">
            <v>Chính thức</v>
          </cell>
          <cell r="K114">
            <v>27</v>
          </cell>
          <cell r="L114">
            <v>26</v>
          </cell>
          <cell r="M114">
            <v>0</v>
          </cell>
          <cell r="N114">
            <v>5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26</v>
          </cell>
          <cell r="U114">
            <v>5310000</v>
          </cell>
          <cell r="V114">
            <v>700000</v>
          </cell>
          <cell r="W114">
            <v>650000</v>
          </cell>
          <cell r="X114">
            <v>500000</v>
          </cell>
          <cell r="Y114">
            <v>400000</v>
          </cell>
          <cell r="Z114">
            <v>7560000</v>
          </cell>
          <cell r="AA114">
            <v>7280000</v>
          </cell>
          <cell r="AB114">
            <v>0</v>
          </cell>
          <cell r="AC114">
            <v>0</v>
          </cell>
          <cell r="AD114">
            <v>7280000</v>
          </cell>
          <cell r="AF114">
            <v>350000</v>
          </cell>
          <cell r="AG114">
            <v>200000</v>
          </cell>
          <cell r="AH114">
            <v>1293048</v>
          </cell>
          <cell r="AI114">
            <v>184375</v>
          </cell>
          <cell r="AJ114">
            <v>0</v>
          </cell>
          <cell r="AK114">
            <v>0</v>
          </cell>
          <cell r="AL114">
            <v>0</v>
          </cell>
          <cell r="AN114">
            <v>0</v>
          </cell>
          <cell r="AP114">
            <v>0</v>
          </cell>
          <cell r="AQ114">
            <v>9307423</v>
          </cell>
          <cell r="AR114">
            <v>9307423</v>
          </cell>
          <cell r="AS114">
            <v>557550</v>
          </cell>
          <cell r="AT114">
            <v>1141650</v>
          </cell>
          <cell r="AU114">
            <v>26550</v>
          </cell>
          <cell r="AV114">
            <v>106200</v>
          </cell>
          <cell r="AW114">
            <v>15500000</v>
          </cell>
          <cell r="AX114">
            <v>7373048</v>
          </cell>
          <cell r="AY114">
            <v>0</v>
          </cell>
          <cell r="AZ114">
            <v>0</v>
          </cell>
          <cell r="BC114">
            <v>584100</v>
          </cell>
          <cell r="BE114">
            <v>8723323</v>
          </cell>
          <cell r="BF114">
            <v>8723323</v>
          </cell>
          <cell r="BG114" t="str">
            <v>CK</v>
          </cell>
          <cell r="BH114">
            <v>8813172684</v>
          </cell>
          <cell r="BI114" t="str">
            <v>BIDV</v>
          </cell>
        </row>
        <row r="115">
          <cell r="C115" t="str">
            <v>VB00466</v>
          </cell>
          <cell r="D115" t="str">
            <v>PHAN HOÀNG ÁI TRÂN</v>
          </cell>
          <cell r="E115" t="str">
            <v>NVBH</v>
          </cell>
          <cell r="F115" t="str">
            <v>Trung cấp</v>
          </cell>
          <cell r="G115">
            <v>45566</v>
          </cell>
          <cell r="H115">
            <v>45627</v>
          </cell>
          <cell r="I115">
            <v>1</v>
          </cell>
          <cell r="J115" t="str">
            <v>Chính thức</v>
          </cell>
          <cell r="K115">
            <v>27</v>
          </cell>
          <cell r="L115">
            <v>26</v>
          </cell>
          <cell r="M115">
            <v>0</v>
          </cell>
          <cell r="N115">
            <v>5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26</v>
          </cell>
          <cell r="U115">
            <v>5310000</v>
          </cell>
          <cell r="V115">
            <v>700000</v>
          </cell>
          <cell r="W115">
            <v>650000</v>
          </cell>
          <cell r="X115">
            <v>500000</v>
          </cell>
          <cell r="Y115">
            <v>400000</v>
          </cell>
          <cell r="Z115">
            <v>7560000</v>
          </cell>
          <cell r="AA115">
            <v>7280000</v>
          </cell>
          <cell r="AB115">
            <v>0</v>
          </cell>
          <cell r="AC115">
            <v>0</v>
          </cell>
          <cell r="AD115">
            <v>7280000</v>
          </cell>
          <cell r="AF115">
            <v>350000</v>
          </cell>
          <cell r="AG115">
            <v>200000</v>
          </cell>
          <cell r="AH115">
            <v>1573245</v>
          </cell>
          <cell r="AI115">
            <v>184375</v>
          </cell>
          <cell r="AJ115">
            <v>0</v>
          </cell>
          <cell r="AK115">
            <v>0</v>
          </cell>
          <cell r="AL115">
            <v>0</v>
          </cell>
          <cell r="AN115">
            <v>0</v>
          </cell>
          <cell r="AP115">
            <v>0</v>
          </cell>
          <cell r="AQ115">
            <v>9587620</v>
          </cell>
          <cell r="AR115">
            <v>9587620</v>
          </cell>
          <cell r="AS115">
            <v>557550</v>
          </cell>
          <cell r="AT115">
            <v>1141650</v>
          </cell>
          <cell r="AU115">
            <v>26550</v>
          </cell>
          <cell r="AV115">
            <v>106200</v>
          </cell>
          <cell r="AW115">
            <v>15500000</v>
          </cell>
          <cell r="AX115">
            <v>7653245</v>
          </cell>
          <cell r="AY115">
            <v>0</v>
          </cell>
          <cell r="AZ115">
            <v>0</v>
          </cell>
          <cell r="BC115">
            <v>584100</v>
          </cell>
          <cell r="BE115">
            <v>9003520</v>
          </cell>
          <cell r="BF115">
            <v>9003520</v>
          </cell>
          <cell r="BG115" t="str">
            <v>CK</v>
          </cell>
          <cell r="BH115">
            <v>8813918126</v>
          </cell>
          <cell r="BI115" t="str">
            <v>BIDV</v>
          </cell>
        </row>
        <row r="116">
          <cell r="C116" t="str">
            <v>VB00478</v>
          </cell>
          <cell r="D116" t="str">
            <v>BÀNG NHẬT HÀ</v>
          </cell>
          <cell r="E116" t="str">
            <v>NVBH</v>
          </cell>
          <cell r="F116" t="str">
            <v>Sơ cấp</v>
          </cell>
          <cell r="G116">
            <v>45600</v>
          </cell>
          <cell r="H116">
            <v>45661</v>
          </cell>
          <cell r="I116">
            <v>1</v>
          </cell>
          <cell r="J116" t="str">
            <v>Chính thức</v>
          </cell>
          <cell r="K116">
            <v>27</v>
          </cell>
          <cell r="L116">
            <v>26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26</v>
          </cell>
          <cell r="U116">
            <v>5310000</v>
          </cell>
          <cell r="V116">
            <v>700000</v>
          </cell>
          <cell r="W116">
            <v>350000</v>
          </cell>
          <cell r="X116">
            <v>500000</v>
          </cell>
          <cell r="Z116">
            <v>6860000</v>
          </cell>
          <cell r="AA116">
            <v>6605925.9259259263</v>
          </cell>
          <cell r="AB116">
            <v>0</v>
          </cell>
          <cell r="AC116">
            <v>0</v>
          </cell>
          <cell r="AD116">
            <v>6605925.9259259263</v>
          </cell>
          <cell r="AF116">
            <v>350000</v>
          </cell>
          <cell r="AG116">
            <v>200000</v>
          </cell>
          <cell r="AH116">
            <v>1217053.125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N116">
            <v>0</v>
          </cell>
          <cell r="AP116">
            <v>0</v>
          </cell>
          <cell r="AQ116">
            <v>8372979</v>
          </cell>
          <cell r="AR116">
            <v>8372979</v>
          </cell>
          <cell r="AS116">
            <v>557550</v>
          </cell>
          <cell r="AT116">
            <v>1141650</v>
          </cell>
          <cell r="AU116">
            <v>26550</v>
          </cell>
          <cell r="AV116">
            <v>106200</v>
          </cell>
          <cell r="AW116">
            <v>15500000</v>
          </cell>
          <cell r="AX116">
            <v>7322979</v>
          </cell>
          <cell r="AY116">
            <v>0</v>
          </cell>
          <cell r="AZ116">
            <v>0</v>
          </cell>
          <cell r="BC116">
            <v>584100</v>
          </cell>
          <cell r="BE116">
            <v>7788879</v>
          </cell>
          <cell r="BF116">
            <v>7788879</v>
          </cell>
          <cell r="BG116" t="str">
            <v>CK</v>
          </cell>
          <cell r="BH116">
            <v>8854099971</v>
          </cell>
          <cell r="BI116" t="str">
            <v>BIDV</v>
          </cell>
        </row>
        <row r="117">
          <cell r="C117" t="str">
            <v>VB00694</v>
          </cell>
          <cell r="D117" t="str">
            <v>TRẦN PHÚC TRUNG</v>
          </cell>
          <cell r="E117" t="str">
            <v>NVBH</v>
          </cell>
          <cell r="F117" t="str">
            <v>Sơ cấp</v>
          </cell>
          <cell r="G117">
            <v>46148</v>
          </cell>
          <cell r="H117">
            <v>46209</v>
          </cell>
          <cell r="I117">
            <v>0</v>
          </cell>
          <cell r="J117" t="str">
            <v>Chính thức</v>
          </cell>
          <cell r="K117">
            <v>27</v>
          </cell>
          <cell r="L117">
            <v>0</v>
          </cell>
          <cell r="M117">
            <v>26</v>
          </cell>
          <cell r="N117">
            <v>5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26</v>
          </cell>
          <cell r="U117">
            <v>5310000</v>
          </cell>
          <cell r="V117">
            <v>700000</v>
          </cell>
          <cell r="W117">
            <v>350000</v>
          </cell>
          <cell r="X117">
            <v>500000</v>
          </cell>
          <cell r="Z117">
            <v>6860000</v>
          </cell>
          <cell r="AA117">
            <v>0</v>
          </cell>
          <cell r="AB117">
            <v>5615037.0370370364</v>
          </cell>
          <cell r="AC117">
            <v>0</v>
          </cell>
          <cell r="AD117">
            <v>5615037.0370370364</v>
          </cell>
          <cell r="AF117">
            <v>350000</v>
          </cell>
          <cell r="AG117">
            <v>208000</v>
          </cell>
          <cell r="AH117">
            <v>1200393</v>
          </cell>
          <cell r="AI117">
            <v>184375</v>
          </cell>
          <cell r="AJ117">
            <v>0</v>
          </cell>
          <cell r="AK117">
            <v>0</v>
          </cell>
          <cell r="AL117">
            <v>0</v>
          </cell>
          <cell r="AN117">
            <v>0</v>
          </cell>
          <cell r="AP117">
            <v>0</v>
          </cell>
          <cell r="AQ117">
            <v>7557805</v>
          </cell>
          <cell r="AR117">
            <v>7557805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15500000</v>
          </cell>
          <cell r="AX117">
            <v>6323430</v>
          </cell>
          <cell r="AY117">
            <v>7308304.3703703694</v>
          </cell>
          <cell r="AZ117">
            <v>730830.43703703699</v>
          </cell>
          <cell r="BB117">
            <v>600000</v>
          </cell>
          <cell r="BC117">
            <v>1330830.437037037</v>
          </cell>
          <cell r="BE117">
            <v>6226975</v>
          </cell>
          <cell r="BF117">
            <v>6226975</v>
          </cell>
          <cell r="BG117" t="str">
            <v>CK</v>
          </cell>
          <cell r="BH117">
            <v>8898593663</v>
          </cell>
          <cell r="BI117" t="str">
            <v>BIDV</v>
          </cell>
        </row>
        <row r="118">
          <cell r="L118">
            <v>104</v>
          </cell>
          <cell r="M118">
            <v>26</v>
          </cell>
          <cell r="N118">
            <v>20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130</v>
          </cell>
          <cell r="U118">
            <v>27100000</v>
          </cell>
          <cell r="V118">
            <v>3500000</v>
          </cell>
          <cell r="W118">
            <v>4000000</v>
          </cell>
          <cell r="X118">
            <v>3100000</v>
          </cell>
          <cell r="Y118">
            <v>1200000</v>
          </cell>
          <cell r="Z118">
            <v>38900000</v>
          </cell>
          <cell r="AA118">
            <v>30853333.333333332</v>
          </cell>
          <cell r="AB118">
            <v>5615037.0370370364</v>
          </cell>
          <cell r="AC118">
            <v>0</v>
          </cell>
          <cell r="AD118">
            <v>36468370.370370366</v>
          </cell>
          <cell r="AE118">
            <v>0</v>
          </cell>
          <cell r="AF118">
            <v>1750000</v>
          </cell>
          <cell r="AG118">
            <v>1008000</v>
          </cell>
          <cell r="AH118">
            <v>8219149.75</v>
          </cell>
          <cell r="AI118">
            <v>756597.22222222225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P118">
            <v>0</v>
          </cell>
          <cell r="AQ118">
            <v>48202117</v>
          </cell>
          <cell r="AR118">
            <v>48202117</v>
          </cell>
          <cell r="AS118">
            <v>2287950</v>
          </cell>
          <cell r="AT118">
            <v>4684850</v>
          </cell>
          <cell r="AU118">
            <v>108950</v>
          </cell>
          <cell r="AV118">
            <v>435800</v>
          </cell>
          <cell r="AW118">
            <v>77500000</v>
          </cell>
          <cell r="AX118">
            <v>38745520</v>
          </cell>
          <cell r="AY118">
            <v>7308304.3703703694</v>
          </cell>
          <cell r="AZ118">
            <v>730830.43703703699</v>
          </cell>
          <cell r="BA118">
            <v>0</v>
          </cell>
          <cell r="BB118">
            <v>600000</v>
          </cell>
          <cell r="BC118">
            <v>3727730.4370370368</v>
          </cell>
          <cell r="BD118">
            <v>0</v>
          </cell>
          <cell r="BE118">
            <v>44474387</v>
          </cell>
          <cell r="BF118">
            <v>44474387</v>
          </cell>
        </row>
        <row r="119">
          <cell r="C119" t="str">
            <v>VB00346</v>
          </cell>
          <cell r="D119" t="str">
            <v>NGUYỄN TRANG ĐAN NHI</v>
          </cell>
          <cell r="E119" t="str">
            <v>NVBH</v>
          </cell>
          <cell r="F119" t="str">
            <v>Trung cấp</v>
          </cell>
          <cell r="G119">
            <v>45236</v>
          </cell>
          <cell r="H119">
            <v>45297</v>
          </cell>
          <cell r="I119">
            <v>2</v>
          </cell>
          <cell r="J119" t="str">
            <v>Chính thức</v>
          </cell>
          <cell r="K119">
            <v>27</v>
          </cell>
          <cell r="L119">
            <v>26</v>
          </cell>
          <cell r="M119">
            <v>0</v>
          </cell>
          <cell r="N119">
            <v>2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26</v>
          </cell>
          <cell r="U119">
            <v>5310000</v>
          </cell>
          <cell r="V119">
            <v>700000</v>
          </cell>
          <cell r="W119">
            <v>200000</v>
          </cell>
          <cell r="X119">
            <v>0</v>
          </cell>
          <cell r="Y119">
            <v>0</v>
          </cell>
          <cell r="Z119">
            <v>6210000</v>
          </cell>
          <cell r="AA119">
            <v>5980000</v>
          </cell>
          <cell r="AB119">
            <v>0</v>
          </cell>
          <cell r="AC119">
            <v>0</v>
          </cell>
          <cell r="AD119">
            <v>5980000</v>
          </cell>
          <cell r="AF119">
            <v>350000</v>
          </cell>
          <cell r="AH119">
            <v>1343886.6089795916</v>
          </cell>
          <cell r="AI119">
            <v>73750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P119">
            <v>0</v>
          </cell>
          <cell r="AQ119">
            <v>7747637</v>
          </cell>
          <cell r="AR119">
            <v>7747637</v>
          </cell>
          <cell r="AS119">
            <v>557550</v>
          </cell>
          <cell r="AT119">
            <v>1141650</v>
          </cell>
          <cell r="AU119">
            <v>26550</v>
          </cell>
          <cell r="AV119">
            <v>106200</v>
          </cell>
          <cell r="AW119">
            <v>15500000</v>
          </cell>
          <cell r="AX119">
            <v>6773887</v>
          </cell>
          <cell r="AY119">
            <v>0</v>
          </cell>
          <cell r="AZ119">
            <v>0</v>
          </cell>
          <cell r="BC119">
            <v>584100</v>
          </cell>
          <cell r="BE119">
            <v>7163537</v>
          </cell>
          <cell r="BF119">
            <v>7163537</v>
          </cell>
          <cell r="BG119" t="str">
            <v>CK</v>
          </cell>
          <cell r="BH119">
            <v>8860853368</v>
          </cell>
          <cell r="BI119" t="str">
            <v>BIDV</v>
          </cell>
        </row>
        <row r="120">
          <cell r="C120" t="str">
            <v>VB00666</v>
          </cell>
          <cell r="D120" t="str">
            <v>VŨ THỊ THANH VÂN</v>
          </cell>
          <cell r="E120" t="str">
            <v>CHT</v>
          </cell>
          <cell r="F120" t="str">
            <v>Trung cấp</v>
          </cell>
          <cell r="G120">
            <v>46090</v>
          </cell>
          <cell r="H120">
            <v>46090</v>
          </cell>
          <cell r="I120">
            <v>0</v>
          </cell>
          <cell r="J120" t="str">
            <v>Chính thức</v>
          </cell>
          <cell r="K120">
            <v>27</v>
          </cell>
          <cell r="L120">
            <v>26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26</v>
          </cell>
          <cell r="U120">
            <v>5860000</v>
          </cell>
          <cell r="V120">
            <v>700000</v>
          </cell>
          <cell r="W120">
            <v>800000</v>
          </cell>
          <cell r="X120">
            <v>0</v>
          </cell>
          <cell r="Y120">
            <v>400000</v>
          </cell>
          <cell r="Z120">
            <v>7760000</v>
          </cell>
          <cell r="AA120">
            <v>7472592.5925925933</v>
          </cell>
          <cell r="AB120">
            <v>0</v>
          </cell>
          <cell r="AC120">
            <v>0</v>
          </cell>
          <cell r="AD120">
            <v>7472592.5925925933</v>
          </cell>
          <cell r="AF120">
            <v>350000</v>
          </cell>
          <cell r="AH120">
            <v>1605167.7551020409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P120">
            <v>0</v>
          </cell>
          <cell r="AQ120">
            <v>9427760</v>
          </cell>
          <cell r="AR120">
            <v>9427760</v>
          </cell>
          <cell r="AS120">
            <v>615300</v>
          </cell>
          <cell r="AT120">
            <v>1259900</v>
          </cell>
          <cell r="AU120">
            <v>29300</v>
          </cell>
          <cell r="AV120">
            <v>117200</v>
          </cell>
          <cell r="AW120">
            <v>15500000</v>
          </cell>
          <cell r="AX120">
            <v>7527760</v>
          </cell>
          <cell r="AY120">
            <v>0</v>
          </cell>
          <cell r="AZ120">
            <v>0</v>
          </cell>
          <cell r="BC120">
            <v>644600</v>
          </cell>
          <cell r="BE120">
            <v>8783160</v>
          </cell>
          <cell r="BF120">
            <v>8783160</v>
          </cell>
          <cell r="BG120" t="str">
            <v>CK</v>
          </cell>
          <cell r="BH120">
            <v>6790291856</v>
          </cell>
          <cell r="BI120" t="str">
            <v>BIDV</v>
          </cell>
        </row>
        <row r="121">
          <cell r="C121" t="str">
            <v>VB00673</v>
          </cell>
          <cell r="D121" t="str">
            <v>PHAN THỊ QUỲNH NHƯ</v>
          </cell>
          <cell r="E121" t="str">
            <v>NVBH</v>
          </cell>
          <cell r="F121" t="str">
            <v>Sơ cấp</v>
          </cell>
          <cell r="G121">
            <v>46111</v>
          </cell>
          <cell r="H121">
            <v>46172</v>
          </cell>
          <cell r="I121">
            <v>0</v>
          </cell>
          <cell r="J121" t="str">
            <v>Chính thức</v>
          </cell>
          <cell r="K121">
            <v>27</v>
          </cell>
          <cell r="L121">
            <v>26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26</v>
          </cell>
          <cell r="U121">
            <v>5310000</v>
          </cell>
          <cell r="V121">
            <v>700000</v>
          </cell>
          <cell r="W121">
            <v>100000</v>
          </cell>
          <cell r="X121">
            <v>0</v>
          </cell>
          <cell r="Y121">
            <v>0</v>
          </cell>
          <cell r="Z121">
            <v>6110000</v>
          </cell>
          <cell r="AA121">
            <v>5883703.7037037034</v>
          </cell>
          <cell r="AB121">
            <v>0</v>
          </cell>
          <cell r="AC121">
            <v>0</v>
          </cell>
          <cell r="AD121">
            <v>5883703.7037037034</v>
          </cell>
          <cell r="AF121">
            <v>350000</v>
          </cell>
          <cell r="AH121">
            <v>940382.40816326521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0</v>
          </cell>
          <cell r="AP121">
            <v>0</v>
          </cell>
          <cell r="AQ121">
            <v>7174086</v>
          </cell>
          <cell r="AR121">
            <v>7174086</v>
          </cell>
          <cell r="AS121">
            <v>557550</v>
          </cell>
          <cell r="AT121">
            <v>1141650</v>
          </cell>
          <cell r="AU121">
            <v>26550</v>
          </cell>
          <cell r="AV121">
            <v>106200</v>
          </cell>
          <cell r="AW121">
            <v>15500000</v>
          </cell>
          <cell r="AX121">
            <v>6374086</v>
          </cell>
          <cell r="AY121">
            <v>0</v>
          </cell>
          <cell r="AZ121">
            <v>0</v>
          </cell>
          <cell r="BC121">
            <v>584100</v>
          </cell>
          <cell r="BE121">
            <v>6589986</v>
          </cell>
          <cell r="BF121">
            <v>6589986</v>
          </cell>
          <cell r="BG121" t="str">
            <v>CK</v>
          </cell>
          <cell r="BH121">
            <v>8848401575</v>
          </cell>
          <cell r="BI121" t="str">
            <v>BIDV</v>
          </cell>
        </row>
        <row r="122">
          <cell r="C122" t="str">
            <v>VB00703</v>
          </cell>
          <cell r="D122" t="str">
            <v>TRẦN HUỲNH MAI ANH</v>
          </cell>
          <cell r="E122" t="str">
            <v>NVBH</v>
          </cell>
          <cell r="F122" t="str">
            <v>Sơ cấp</v>
          </cell>
          <cell r="G122">
            <v>46174</v>
          </cell>
          <cell r="H122">
            <v>46235</v>
          </cell>
          <cell r="I122">
            <v>0</v>
          </cell>
          <cell r="J122" t="str">
            <v>Thử việc</v>
          </cell>
          <cell r="K122">
            <v>27</v>
          </cell>
          <cell r="L122">
            <v>0</v>
          </cell>
          <cell r="M122">
            <v>26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26</v>
          </cell>
          <cell r="U122">
            <v>5310000</v>
          </cell>
          <cell r="V122">
            <v>700000</v>
          </cell>
          <cell r="W122">
            <v>100000</v>
          </cell>
          <cell r="X122">
            <v>0</v>
          </cell>
          <cell r="Y122">
            <v>0</v>
          </cell>
          <cell r="Z122">
            <v>6110000</v>
          </cell>
          <cell r="AA122">
            <v>0</v>
          </cell>
          <cell r="AB122">
            <v>5001148.1481481483</v>
          </cell>
          <cell r="AD122">
            <v>5001148.1481481483</v>
          </cell>
          <cell r="AF122">
            <v>350000</v>
          </cell>
          <cell r="AH122">
            <v>1033761.8399999999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0</v>
          </cell>
          <cell r="AP122">
            <v>0</v>
          </cell>
          <cell r="AQ122">
            <v>6384910</v>
          </cell>
          <cell r="AR122">
            <v>6384910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15500000</v>
          </cell>
          <cell r="AX122">
            <v>6384910</v>
          </cell>
          <cell r="AY122">
            <v>6384910</v>
          </cell>
          <cell r="AZ122">
            <v>638491</v>
          </cell>
          <cell r="BB122">
            <v>700000</v>
          </cell>
          <cell r="BC122">
            <v>1338491</v>
          </cell>
          <cell r="BE122">
            <v>5046419</v>
          </cell>
          <cell r="BF122">
            <v>5046419</v>
          </cell>
          <cell r="BG122" t="str">
            <v>CK</v>
          </cell>
          <cell r="BH122">
            <v>8839376415</v>
          </cell>
          <cell r="BI122" t="str">
            <v>BIDV</v>
          </cell>
        </row>
        <row r="123">
          <cell r="L123">
            <v>78</v>
          </cell>
          <cell r="M123">
            <v>26</v>
          </cell>
          <cell r="N123">
            <v>2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104</v>
          </cell>
          <cell r="U123">
            <v>21790000</v>
          </cell>
          <cell r="V123">
            <v>2800000</v>
          </cell>
          <cell r="W123">
            <v>1200000</v>
          </cell>
          <cell r="X123">
            <v>0</v>
          </cell>
          <cell r="Y123">
            <v>400000</v>
          </cell>
          <cell r="Z123">
            <v>26190000</v>
          </cell>
          <cell r="AA123">
            <v>19336296.296296299</v>
          </cell>
          <cell r="AB123">
            <v>5001148.1481481483</v>
          </cell>
          <cell r="AC123">
            <v>0</v>
          </cell>
          <cell r="AD123">
            <v>24337444.444444448</v>
          </cell>
          <cell r="AE123">
            <v>0</v>
          </cell>
          <cell r="AF123">
            <v>1400000</v>
          </cell>
          <cell r="AG123">
            <v>0</v>
          </cell>
          <cell r="AH123">
            <v>4923198.6122448975</v>
          </cell>
          <cell r="AI123">
            <v>73750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30734393</v>
          </cell>
          <cell r="AR123">
            <v>30734393</v>
          </cell>
          <cell r="AS123">
            <v>1730400</v>
          </cell>
          <cell r="AT123">
            <v>3543200</v>
          </cell>
          <cell r="AU123">
            <v>82400</v>
          </cell>
          <cell r="AV123">
            <v>329600</v>
          </cell>
          <cell r="AW123">
            <v>62000000</v>
          </cell>
          <cell r="AX123">
            <v>27060643</v>
          </cell>
          <cell r="AY123">
            <v>6384910</v>
          </cell>
          <cell r="AZ123">
            <v>638491</v>
          </cell>
          <cell r="BA123">
            <v>0</v>
          </cell>
          <cell r="BB123">
            <v>700000</v>
          </cell>
          <cell r="BC123">
            <v>3151291</v>
          </cell>
          <cell r="BD123">
            <v>0</v>
          </cell>
          <cell r="BE123">
            <v>27583102</v>
          </cell>
          <cell r="BF123">
            <v>27583102</v>
          </cell>
        </row>
        <row r="124">
          <cell r="C124" t="str">
            <v>VB00292</v>
          </cell>
          <cell r="D124" t="str">
            <v>LÊ VĂN TRƯỜNG</v>
          </cell>
          <cell r="E124" t="str">
            <v>CHT</v>
          </cell>
          <cell r="F124" t="str">
            <v>Cao cấp</v>
          </cell>
          <cell r="G124">
            <v>45004</v>
          </cell>
          <cell r="H124">
            <v>45065</v>
          </cell>
          <cell r="I124">
            <v>3</v>
          </cell>
          <cell r="J124" t="str">
            <v>Chính thức</v>
          </cell>
          <cell r="K124">
            <v>27</v>
          </cell>
          <cell r="L124">
            <v>26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3</v>
          </cell>
          <cell r="R124">
            <v>0</v>
          </cell>
          <cell r="S124">
            <v>0</v>
          </cell>
          <cell r="T124">
            <v>26</v>
          </cell>
          <cell r="U124">
            <v>5860000</v>
          </cell>
          <cell r="V124">
            <v>700000</v>
          </cell>
          <cell r="W124">
            <v>1000000</v>
          </cell>
          <cell r="X124">
            <v>300000</v>
          </cell>
          <cell r="Y124">
            <v>400000</v>
          </cell>
          <cell r="Z124">
            <v>8260000</v>
          </cell>
          <cell r="AA124">
            <v>7954074.0740740737</v>
          </cell>
          <cell r="AB124">
            <v>0</v>
          </cell>
          <cell r="AC124">
            <v>0</v>
          </cell>
          <cell r="AD124">
            <v>7954074.0740740737</v>
          </cell>
          <cell r="AF124">
            <v>350000</v>
          </cell>
          <cell r="AH124">
            <v>12307009.918396225</v>
          </cell>
          <cell r="AI124">
            <v>0</v>
          </cell>
          <cell r="AJ124">
            <v>0</v>
          </cell>
          <cell r="AK124">
            <v>0</v>
          </cell>
          <cell r="AL124">
            <v>162777.77777777778</v>
          </cell>
          <cell r="AN124">
            <v>0</v>
          </cell>
          <cell r="AP124">
            <v>0</v>
          </cell>
          <cell r="AQ124">
            <v>20773862</v>
          </cell>
          <cell r="AR124">
            <v>20773862</v>
          </cell>
          <cell r="AS124">
            <v>615300</v>
          </cell>
          <cell r="AT124">
            <v>1259900</v>
          </cell>
          <cell r="AU124">
            <v>29300</v>
          </cell>
          <cell r="AV124">
            <v>117200</v>
          </cell>
          <cell r="AW124">
            <v>15500000</v>
          </cell>
          <cell r="AX124">
            <v>18511084</v>
          </cell>
          <cell r="AY124">
            <v>2395784</v>
          </cell>
          <cell r="AZ124">
            <v>119789</v>
          </cell>
          <cell r="BC124">
            <v>764389</v>
          </cell>
          <cell r="BE124">
            <v>20009473</v>
          </cell>
          <cell r="BF124">
            <v>20009473</v>
          </cell>
          <cell r="BG124" t="str">
            <v>CK</v>
          </cell>
          <cell r="BH124" t="str">
            <v>6011677753</v>
          </cell>
          <cell r="BI124" t="str">
            <v>Ngân hàng TMCP Đầu tư và Phát triển  Việt Nam (BIDV) - CN Khánh Hòa</v>
          </cell>
        </row>
        <row r="125">
          <cell r="C125" t="str">
            <v>VB00388</v>
          </cell>
          <cell r="D125" t="str">
            <v>TRẦN THỊ HOÀN LINH</v>
          </cell>
          <cell r="E125" t="str">
            <v>NVBH</v>
          </cell>
          <cell r="F125" t="str">
            <v>Trung cấp</v>
          </cell>
          <cell r="G125">
            <v>45367</v>
          </cell>
          <cell r="H125">
            <v>45428</v>
          </cell>
          <cell r="I125">
            <v>2</v>
          </cell>
          <cell r="J125" t="str">
            <v>Chính thức</v>
          </cell>
          <cell r="K125">
            <v>27</v>
          </cell>
          <cell r="L125">
            <v>26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26</v>
          </cell>
          <cell r="U125">
            <v>5310000</v>
          </cell>
          <cell r="V125">
            <v>700000</v>
          </cell>
          <cell r="W125">
            <v>200000</v>
          </cell>
          <cell r="X125">
            <v>0</v>
          </cell>
          <cell r="Y125">
            <v>0</v>
          </cell>
          <cell r="Z125">
            <v>6210000</v>
          </cell>
          <cell r="AA125">
            <v>5980000</v>
          </cell>
          <cell r="AB125">
            <v>0</v>
          </cell>
          <cell r="AC125">
            <v>0</v>
          </cell>
          <cell r="AD125">
            <v>5980000</v>
          </cell>
          <cell r="AF125">
            <v>350000</v>
          </cell>
          <cell r="AH125">
            <v>6510525.8264150936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0</v>
          </cell>
          <cell r="AP125">
            <v>0</v>
          </cell>
          <cell r="AQ125">
            <v>12840526</v>
          </cell>
          <cell r="AR125">
            <v>12840526</v>
          </cell>
          <cell r="AS125">
            <v>557550</v>
          </cell>
          <cell r="AT125">
            <v>1141650</v>
          </cell>
          <cell r="AU125">
            <v>26550</v>
          </cell>
          <cell r="AV125">
            <v>106200</v>
          </cell>
          <cell r="AW125">
            <v>15500000</v>
          </cell>
          <cell r="AX125">
            <v>11940526</v>
          </cell>
          <cell r="AY125">
            <v>0</v>
          </cell>
          <cell r="AZ125">
            <v>0</v>
          </cell>
          <cell r="BC125">
            <v>584100</v>
          </cell>
          <cell r="BE125">
            <v>12256426</v>
          </cell>
          <cell r="BF125">
            <v>12256426</v>
          </cell>
          <cell r="BG125" t="str">
            <v>CK</v>
          </cell>
          <cell r="BH125">
            <v>8851760590</v>
          </cell>
          <cell r="BI125" t="str">
            <v>BIDV - CN Khánh Hòa</v>
          </cell>
        </row>
        <row r="126">
          <cell r="C126" t="str">
            <v>VB00395</v>
          </cell>
          <cell r="D126" t="str">
            <v>NGUYỄN THU PHƯƠNG</v>
          </cell>
          <cell r="E126" t="str">
            <v>NVBH</v>
          </cell>
          <cell r="F126" t="str">
            <v>Trung cấp</v>
          </cell>
          <cell r="G126">
            <v>45383</v>
          </cell>
          <cell r="H126">
            <v>45444</v>
          </cell>
          <cell r="I126">
            <v>2</v>
          </cell>
          <cell r="J126" t="str">
            <v>Chính thức</v>
          </cell>
          <cell r="K126">
            <v>27</v>
          </cell>
          <cell r="L126">
            <v>26</v>
          </cell>
          <cell r="M126">
            <v>0</v>
          </cell>
          <cell r="N126">
            <v>2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26</v>
          </cell>
          <cell r="U126">
            <v>5310000</v>
          </cell>
          <cell r="V126">
            <v>700000</v>
          </cell>
          <cell r="W126">
            <v>200000</v>
          </cell>
          <cell r="X126">
            <v>0</v>
          </cell>
          <cell r="Y126">
            <v>0</v>
          </cell>
          <cell r="Z126">
            <v>6210000</v>
          </cell>
          <cell r="AA126">
            <v>5980000</v>
          </cell>
          <cell r="AB126">
            <v>0</v>
          </cell>
          <cell r="AC126">
            <v>0</v>
          </cell>
          <cell r="AD126">
            <v>5980000</v>
          </cell>
          <cell r="AF126">
            <v>350000</v>
          </cell>
          <cell r="AH126">
            <v>6151292.8132075472</v>
          </cell>
          <cell r="AI126">
            <v>73750</v>
          </cell>
          <cell r="AJ126">
            <v>0</v>
          </cell>
          <cell r="AK126">
            <v>0</v>
          </cell>
          <cell r="AL126">
            <v>0</v>
          </cell>
          <cell r="AN126">
            <v>0</v>
          </cell>
          <cell r="AP126">
            <v>0</v>
          </cell>
          <cell r="AQ126">
            <v>12555043</v>
          </cell>
          <cell r="AR126">
            <v>12555043</v>
          </cell>
          <cell r="AS126">
            <v>557550</v>
          </cell>
          <cell r="AT126">
            <v>1141650</v>
          </cell>
          <cell r="AU126">
            <v>26550</v>
          </cell>
          <cell r="AV126">
            <v>106200</v>
          </cell>
          <cell r="AW126">
            <v>15500000</v>
          </cell>
          <cell r="AX126">
            <v>11581293</v>
          </cell>
          <cell r="AY126">
            <v>0</v>
          </cell>
          <cell r="AZ126">
            <v>0</v>
          </cell>
          <cell r="BC126">
            <v>584100</v>
          </cell>
          <cell r="BE126">
            <v>11970943</v>
          </cell>
          <cell r="BF126">
            <v>11970943</v>
          </cell>
          <cell r="BG126" t="str">
            <v>CK</v>
          </cell>
          <cell r="BH126">
            <v>8851951940</v>
          </cell>
          <cell r="BI126" t="str">
            <v>BIDV - CN Khánh Hòa</v>
          </cell>
        </row>
        <row r="127">
          <cell r="C127" t="str">
            <v>VB00560</v>
          </cell>
          <cell r="D127" t="str">
            <v>NGUYỄN THỊ THANH TRÀ</v>
          </cell>
          <cell r="E127" t="str">
            <v>NVBH</v>
          </cell>
          <cell r="F127" t="str">
            <v>Sơ cấp</v>
          </cell>
          <cell r="G127">
            <v>45750</v>
          </cell>
          <cell r="H127">
            <v>45811</v>
          </cell>
          <cell r="I127">
            <v>1</v>
          </cell>
          <cell r="J127" t="str">
            <v>Chính thức</v>
          </cell>
          <cell r="K127">
            <v>27</v>
          </cell>
          <cell r="L127">
            <v>26</v>
          </cell>
          <cell r="M127">
            <v>0</v>
          </cell>
          <cell r="N127">
            <v>7</v>
          </cell>
          <cell r="O127">
            <v>0</v>
          </cell>
          <cell r="P127">
            <v>0</v>
          </cell>
          <cell r="Q127">
            <v>3</v>
          </cell>
          <cell r="R127">
            <v>0</v>
          </cell>
          <cell r="S127">
            <v>0</v>
          </cell>
          <cell r="T127">
            <v>26</v>
          </cell>
          <cell r="U127">
            <v>5310000</v>
          </cell>
          <cell r="V127">
            <v>700000</v>
          </cell>
          <cell r="W127">
            <v>100000</v>
          </cell>
          <cell r="X127">
            <v>0</v>
          </cell>
          <cell r="Y127">
            <v>0</v>
          </cell>
          <cell r="Z127">
            <v>6110000</v>
          </cell>
          <cell r="AA127">
            <v>5883703.7037037034</v>
          </cell>
          <cell r="AB127">
            <v>0</v>
          </cell>
          <cell r="AC127">
            <v>0</v>
          </cell>
          <cell r="AD127">
            <v>5883703.7037037034</v>
          </cell>
          <cell r="AF127">
            <v>350000</v>
          </cell>
          <cell r="AH127">
            <v>6706742.671698112</v>
          </cell>
          <cell r="AI127">
            <v>258124.99999999997</v>
          </cell>
          <cell r="AJ127">
            <v>0</v>
          </cell>
          <cell r="AK127">
            <v>0</v>
          </cell>
          <cell r="AL127">
            <v>147500</v>
          </cell>
          <cell r="AN127">
            <v>0</v>
          </cell>
          <cell r="AP127">
            <v>0</v>
          </cell>
          <cell r="AQ127">
            <v>13346071</v>
          </cell>
          <cell r="AR127">
            <v>13346071</v>
          </cell>
          <cell r="AS127">
            <v>557550</v>
          </cell>
          <cell r="AT127">
            <v>1141650</v>
          </cell>
          <cell r="AU127">
            <v>26550</v>
          </cell>
          <cell r="AV127">
            <v>106200</v>
          </cell>
          <cell r="AW127">
            <v>15500000</v>
          </cell>
          <cell r="AX127">
            <v>12140446</v>
          </cell>
          <cell r="AY127">
            <v>0</v>
          </cell>
          <cell r="AZ127">
            <v>0</v>
          </cell>
          <cell r="BC127">
            <v>584100</v>
          </cell>
          <cell r="BE127">
            <v>12761971</v>
          </cell>
          <cell r="BF127">
            <v>12761971</v>
          </cell>
          <cell r="BG127" t="str">
            <v>CK</v>
          </cell>
          <cell r="BH127">
            <v>8825058495</v>
          </cell>
          <cell r="BI127" t="str">
            <v>BIDV</v>
          </cell>
        </row>
        <row r="128">
          <cell r="C128" t="str">
            <v>VB00677</v>
          </cell>
          <cell r="D128" t="str">
            <v>NGUYỄN VỸ HẠ LAM</v>
          </cell>
          <cell r="E128" t="str">
            <v>NVBH</v>
          </cell>
          <cell r="F128" t="str">
            <v>Sơ cấp</v>
          </cell>
          <cell r="G128">
            <v>46113</v>
          </cell>
          <cell r="H128">
            <v>46174</v>
          </cell>
          <cell r="I128">
            <v>0</v>
          </cell>
          <cell r="J128" t="str">
            <v>Chính thức</v>
          </cell>
          <cell r="K128">
            <v>27</v>
          </cell>
          <cell r="L128">
            <v>26</v>
          </cell>
          <cell r="M128">
            <v>0</v>
          </cell>
          <cell r="N128">
            <v>2</v>
          </cell>
          <cell r="O128">
            <v>0</v>
          </cell>
          <cell r="P128">
            <v>0</v>
          </cell>
          <cell r="Q128">
            <v>3</v>
          </cell>
          <cell r="R128">
            <v>0</v>
          </cell>
          <cell r="S128">
            <v>0</v>
          </cell>
          <cell r="T128">
            <v>26</v>
          </cell>
          <cell r="U128">
            <v>5310000</v>
          </cell>
          <cell r="V128">
            <v>700000</v>
          </cell>
          <cell r="W128">
            <v>100000</v>
          </cell>
          <cell r="X128">
            <v>0</v>
          </cell>
          <cell r="Y128">
            <v>0</v>
          </cell>
          <cell r="Z128">
            <v>6110000</v>
          </cell>
          <cell r="AA128">
            <v>5883703.7037037034</v>
          </cell>
          <cell r="AB128">
            <v>0</v>
          </cell>
          <cell r="AC128">
            <v>0</v>
          </cell>
          <cell r="AD128">
            <v>5883703.7037037034</v>
          </cell>
          <cell r="AF128">
            <v>350000</v>
          </cell>
          <cell r="AH128">
            <v>6661667.4792452818</v>
          </cell>
          <cell r="AI128">
            <v>73750</v>
          </cell>
          <cell r="AJ128">
            <v>0</v>
          </cell>
          <cell r="AK128">
            <v>0</v>
          </cell>
          <cell r="AL128">
            <v>147500</v>
          </cell>
          <cell r="AN128">
            <v>0</v>
          </cell>
          <cell r="AP128">
            <v>0</v>
          </cell>
          <cell r="AQ128">
            <v>13116621</v>
          </cell>
          <cell r="AR128">
            <v>13116621</v>
          </cell>
          <cell r="AS128">
            <v>557550</v>
          </cell>
          <cell r="AT128">
            <v>1141650</v>
          </cell>
          <cell r="AU128">
            <v>26550</v>
          </cell>
          <cell r="AV128">
            <v>106200</v>
          </cell>
          <cell r="AW128">
            <v>15500000</v>
          </cell>
          <cell r="AX128">
            <v>12095371</v>
          </cell>
          <cell r="AY128">
            <v>0</v>
          </cell>
          <cell r="AZ128">
            <v>0</v>
          </cell>
          <cell r="BC128">
            <v>584100</v>
          </cell>
          <cell r="BE128">
            <v>12532521</v>
          </cell>
          <cell r="BF128">
            <v>12532521</v>
          </cell>
          <cell r="BG128" t="str">
            <v>CK</v>
          </cell>
          <cell r="BH128">
            <v>8828569142</v>
          </cell>
          <cell r="BI128" t="str">
            <v>BIDV</v>
          </cell>
        </row>
        <row r="129">
          <cell r="L129">
            <v>130</v>
          </cell>
          <cell r="M129">
            <v>0</v>
          </cell>
          <cell r="N129">
            <v>11</v>
          </cell>
          <cell r="O129">
            <v>0</v>
          </cell>
          <cell r="P129">
            <v>0</v>
          </cell>
          <cell r="Q129">
            <v>9</v>
          </cell>
          <cell r="R129">
            <v>0</v>
          </cell>
          <cell r="S129">
            <v>0</v>
          </cell>
          <cell r="T129">
            <v>130</v>
          </cell>
          <cell r="U129">
            <v>27100000</v>
          </cell>
          <cell r="V129">
            <v>3500000</v>
          </cell>
          <cell r="W129">
            <v>1600000</v>
          </cell>
          <cell r="X129">
            <v>300000</v>
          </cell>
          <cell r="Y129">
            <v>400000</v>
          </cell>
          <cell r="Z129">
            <v>32900000</v>
          </cell>
          <cell r="AA129">
            <v>31681481.481481478</v>
          </cell>
          <cell r="AB129">
            <v>0</v>
          </cell>
          <cell r="AC129">
            <v>0</v>
          </cell>
          <cell r="AD129">
            <v>31681481.481481478</v>
          </cell>
          <cell r="AE129">
            <v>0</v>
          </cell>
          <cell r="AF129">
            <v>1750000</v>
          </cell>
          <cell r="AG129">
            <v>0</v>
          </cell>
          <cell r="AH129">
            <v>38337238.708962262</v>
          </cell>
          <cell r="AI129">
            <v>405625</v>
          </cell>
          <cell r="AJ129">
            <v>0</v>
          </cell>
          <cell r="AK129">
            <v>0</v>
          </cell>
          <cell r="AL129">
            <v>457777.77777777775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72632123</v>
          </cell>
          <cell r="AR129">
            <v>72632123</v>
          </cell>
          <cell r="AS129">
            <v>2845500</v>
          </cell>
          <cell r="AT129">
            <v>5826500</v>
          </cell>
          <cell r="AU129">
            <v>135500</v>
          </cell>
          <cell r="AV129">
            <v>542000</v>
          </cell>
          <cell r="AW129">
            <v>77500000</v>
          </cell>
          <cell r="AX129">
            <v>66268720</v>
          </cell>
          <cell r="AY129">
            <v>2395784</v>
          </cell>
          <cell r="AZ129">
            <v>119789</v>
          </cell>
          <cell r="BA129">
            <v>0</v>
          </cell>
          <cell r="BB129">
            <v>0</v>
          </cell>
          <cell r="BC129">
            <v>3100789</v>
          </cell>
          <cell r="BD129">
            <v>0</v>
          </cell>
          <cell r="BE129">
            <v>69531334</v>
          </cell>
          <cell r="BF129">
            <v>69531334</v>
          </cell>
        </row>
        <row r="130">
          <cell r="C130" t="str">
            <v>VB00219</v>
          </cell>
          <cell r="D130" t="str">
            <v>NGUYỄN THỊ HOÀI LINH</v>
          </cell>
          <cell r="E130" t="str">
            <v>CHT</v>
          </cell>
          <cell r="F130" t="str">
            <v>Cao cấp</v>
          </cell>
          <cell r="G130">
            <v>44722</v>
          </cell>
          <cell r="H130">
            <v>44783</v>
          </cell>
          <cell r="I130">
            <v>4</v>
          </cell>
          <cell r="J130" t="str">
            <v>Chính thức</v>
          </cell>
          <cell r="K130">
            <v>27</v>
          </cell>
          <cell r="L130">
            <v>26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26</v>
          </cell>
          <cell r="U130">
            <v>5860000</v>
          </cell>
          <cell r="V130">
            <v>700000</v>
          </cell>
          <cell r="W130">
            <v>1000000</v>
          </cell>
          <cell r="X130">
            <v>300000</v>
          </cell>
          <cell r="Y130">
            <v>400000</v>
          </cell>
          <cell r="Z130">
            <v>8260000</v>
          </cell>
          <cell r="AA130">
            <v>7954074.0740740737</v>
          </cell>
          <cell r="AB130">
            <v>0</v>
          </cell>
          <cell r="AC130">
            <v>0</v>
          </cell>
          <cell r="AD130">
            <v>7954074.0740740737</v>
          </cell>
          <cell r="AF130">
            <v>350000</v>
          </cell>
          <cell r="AH130">
            <v>14303145.840000002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N130">
            <v>0</v>
          </cell>
          <cell r="AP130">
            <v>0</v>
          </cell>
          <cell r="AQ130">
            <v>22607220</v>
          </cell>
          <cell r="AR130">
            <v>22607220</v>
          </cell>
          <cell r="AS130">
            <v>615300</v>
          </cell>
          <cell r="AT130">
            <v>1259900</v>
          </cell>
          <cell r="AU130">
            <v>29300</v>
          </cell>
          <cell r="AV130">
            <v>117200</v>
          </cell>
          <cell r="AW130">
            <v>15500000</v>
          </cell>
          <cell r="AX130">
            <v>20507220</v>
          </cell>
          <cell r="AY130">
            <v>4391920</v>
          </cell>
          <cell r="AZ130">
            <v>219596</v>
          </cell>
          <cell r="BC130">
            <v>864196</v>
          </cell>
          <cell r="BE130">
            <v>21743024</v>
          </cell>
          <cell r="BF130">
            <v>21743024</v>
          </cell>
          <cell r="BG130" t="str">
            <v>CK</v>
          </cell>
          <cell r="BH130" t="str">
            <v>5511380251</v>
          </cell>
          <cell r="BI130" t="str">
            <v>Ngân hàng TMCP Đầu tư và Phát triển  Việt Nam (BIDV) - CN Thừa Thiên Huế</v>
          </cell>
        </row>
        <row r="131">
          <cell r="C131" t="str">
            <v>VB00358</v>
          </cell>
          <cell r="D131" t="str">
            <v>NGUYỄN THỊ DIỆP</v>
          </cell>
          <cell r="E131" t="str">
            <v>NVBH</v>
          </cell>
          <cell r="F131" t="str">
            <v>Cao cấp</v>
          </cell>
          <cell r="G131">
            <v>45250</v>
          </cell>
          <cell r="H131">
            <v>45311</v>
          </cell>
          <cell r="I131">
            <v>2</v>
          </cell>
          <cell r="J131" t="str">
            <v>Chính thức</v>
          </cell>
          <cell r="K131">
            <v>27</v>
          </cell>
          <cell r="L131">
            <v>26</v>
          </cell>
          <cell r="M131">
            <v>0</v>
          </cell>
          <cell r="N131">
            <v>2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26</v>
          </cell>
          <cell r="U131">
            <v>5310000</v>
          </cell>
          <cell r="V131">
            <v>700000</v>
          </cell>
          <cell r="X131" t="str">
            <v>-</v>
          </cell>
          <cell r="Y131">
            <v>300000</v>
          </cell>
          <cell r="Z131">
            <v>6310000</v>
          </cell>
          <cell r="AA131">
            <v>6076296.2962962966</v>
          </cell>
          <cell r="AB131">
            <v>0</v>
          </cell>
          <cell r="AC131">
            <v>0</v>
          </cell>
          <cell r="AD131">
            <v>6076296.2962962966</v>
          </cell>
          <cell r="AF131">
            <v>350000</v>
          </cell>
          <cell r="AH131">
            <v>9972171.0666666664</v>
          </cell>
          <cell r="AI131">
            <v>73750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P131">
            <v>0</v>
          </cell>
          <cell r="AQ131">
            <v>16472217</v>
          </cell>
          <cell r="AR131">
            <v>16472217</v>
          </cell>
          <cell r="AS131">
            <v>557550</v>
          </cell>
          <cell r="AT131">
            <v>1141650</v>
          </cell>
          <cell r="AU131">
            <v>26550</v>
          </cell>
          <cell r="AV131">
            <v>106200</v>
          </cell>
          <cell r="AW131">
            <v>15500000</v>
          </cell>
          <cell r="AX131">
            <v>15398467</v>
          </cell>
          <cell r="AY131">
            <v>0</v>
          </cell>
          <cell r="AZ131">
            <v>0</v>
          </cell>
          <cell r="BC131">
            <v>584100</v>
          </cell>
          <cell r="BE131">
            <v>15888117</v>
          </cell>
          <cell r="BF131">
            <v>15888117</v>
          </cell>
          <cell r="BG131" t="str">
            <v>CK</v>
          </cell>
          <cell r="BH131">
            <v>8840791868</v>
          </cell>
          <cell r="BI131" t="str">
            <v>Ngân hàng TMCP Đầu tư và Phát triển  Việt Nam (BIDV) - CN Hải Vân</v>
          </cell>
        </row>
        <row r="132">
          <cell r="C132" t="str">
            <v>VB00359</v>
          </cell>
          <cell r="D132" t="str">
            <v>NGUYỄN THỊ TƯỜNG VY</v>
          </cell>
          <cell r="E132" t="str">
            <v>NVBH</v>
          </cell>
          <cell r="F132" t="str">
            <v>Cao cấp</v>
          </cell>
          <cell r="G132">
            <v>45256</v>
          </cell>
          <cell r="H132">
            <v>45317</v>
          </cell>
          <cell r="I132">
            <v>2</v>
          </cell>
          <cell r="J132" t="str">
            <v>Chính thức</v>
          </cell>
          <cell r="K132">
            <v>27</v>
          </cell>
          <cell r="L132">
            <v>26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26</v>
          </cell>
          <cell r="U132">
            <v>5310000</v>
          </cell>
          <cell r="V132">
            <v>700000</v>
          </cell>
          <cell r="X132" t="str">
            <v>-</v>
          </cell>
          <cell r="Y132">
            <v>300000</v>
          </cell>
          <cell r="Z132">
            <v>6310000</v>
          </cell>
          <cell r="AA132">
            <v>6076296.2962962966</v>
          </cell>
          <cell r="AB132">
            <v>0</v>
          </cell>
          <cell r="AC132">
            <v>0</v>
          </cell>
          <cell r="AD132">
            <v>6076296.2962962966</v>
          </cell>
          <cell r="AF132">
            <v>350000</v>
          </cell>
          <cell r="AG132">
            <v>100000</v>
          </cell>
          <cell r="AH132">
            <v>7336468.2666666666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>
            <v>0</v>
          </cell>
          <cell r="AP132">
            <v>0</v>
          </cell>
          <cell r="AQ132">
            <v>13862765</v>
          </cell>
          <cell r="AR132">
            <v>13862765</v>
          </cell>
          <cell r="AS132">
            <v>557550</v>
          </cell>
          <cell r="AT132">
            <v>1141650</v>
          </cell>
          <cell r="AU132">
            <v>26550</v>
          </cell>
          <cell r="AV132">
            <v>106200</v>
          </cell>
          <cell r="AW132">
            <v>15500000</v>
          </cell>
          <cell r="AX132">
            <v>12862765</v>
          </cell>
          <cell r="AY132">
            <v>0</v>
          </cell>
          <cell r="AZ132">
            <v>0</v>
          </cell>
          <cell r="BC132">
            <v>584100</v>
          </cell>
          <cell r="BE132">
            <v>13278665</v>
          </cell>
          <cell r="BF132">
            <v>13278665</v>
          </cell>
          <cell r="BG132" t="str">
            <v>CK</v>
          </cell>
          <cell r="BH132">
            <v>8850988104</v>
          </cell>
          <cell r="BI132" t="str">
            <v>Ngân hàng TMCP Đầu tư và Phát triển  Việt Nam (BIDV) - CN Hải Vân</v>
          </cell>
        </row>
        <row r="133">
          <cell r="C133" t="str">
            <v>VB00659</v>
          </cell>
          <cell r="D133" t="str">
            <v>VÕ THỊ Ý LIÊN</v>
          </cell>
          <cell r="E133" t="str">
            <v>NVBH</v>
          </cell>
          <cell r="F133" t="str">
            <v>Sơ cấp</v>
          </cell>
          <cell r="G133">
            <v>46079</v>
          </cell>
          <cell r="H133">
            <v>46140</v>
          </cell>
          <cell r="I133">
            <v>0</v>
          </cell>
          <cell r="J133" t="str">
            <v>Chính thức</v>
          </cell>
          <cell r="K133">
            <v>27</v>
          </cell>
          <cell r="L133">
            <v>26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26</v>
          </cell>
          <cell r="U133">
            <v>5310000</v>
          </cell>
          <cell r="V133">
            <v>700000</v>
          </cell>
          <cell r="W133">
            <v>100000</v>
          </cell>
          <cell r="X133">
            <v>0</v>
          </cell>
          <cell r="Y133">
            <v>0</v>
          </cell>
          <cell r="Z133">
            <v>6110000</v>
          </cell>
          <cell r="AA133">
            <v>5883703.7037037034</v>
          </cell>
          <cell r="AB133">
            <v>0</v>
          </cell>
          <cell r="AC133">
            <v>0</v>
          </cell>
          <cell r="AD133">
            <v>5883703.7037037034</v>
          </cell>
          <cell r="AF133">
            <v>350000</v>
          </cell>
          <cell r="AG133">
            <v>100000</v>
          </cell>
          <cell r="AH133">
            <v>7109165.5999999987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N133">
            <v>0</v>
          </cell>
          <cell r="AP133">
            <v>0</v>
          </cell>
          <cell r="AQ133">
            <v>13442869</v>
          </cell>
          <cell r="AR133">
            <v>13442869</v>
          </cell>
          <cell r="AS133">
            <v>557550</v>
          </cell>
          <cell r="AT133">
            <v>1141650</v>
          </cell>
          <cell r="AU133">
            <v>26550</v>
          </cell>
          <cell r="AV133">
            <v>106200</v>
          </cell>
          <cell r="AW133">
            <v>15500000</v>
          </cell>
          <cell r="AX133">
            <v>12642869</v>
          </cell>
          <cell r="AY133">
            <v>0</v>
          </cell>
          <cell r="AZ133">
            <v>0</v>
          </cell>
          <cell r="BC133">
            <v>584100</v>
          </cell>
          <cell r="BE133">
            <v>12858769</v>
          </cell>
          <cell r="BF133">
            <v>12858769</v>
          </cell>
          <cell r="BG133" t="str">
            <v>CK</v>
          </cell>
          <cell r="BH133">
            <v>8828018554</v>
          </cell>
          <cell r="BI133" t="str">
            <v>BIDV</v>
          </cell>
        </row>
        <row r="134">
          <cell r="C134" t="str">
            <v>VB00676</v>
          </cell>
          <cell r="D134" t="str">
            <v>NGUYỄN LÊ THỊ QUỲNH NHƯ</v>
          </cell>
          <cell r="E134" t="str">
            <v>NVBH</v>
          </cell>
          <cell r="F134" t="str">
            <v>Sơ cấp</v>
          </cell>
          <cell r="G134">
            <v>46113</v>
          </cell>
          <cell r="H134">
            <v>46174</v>
          </cell>
          <cell r="I134">
            <v>0</v>
          </cell>
          <cell r="J134" t="str">
            <v>Chính thức</v>
          </cell>
          <cell r="K134">
            <v>27</v>
          </cell>
          <cell r="L134">
            <v>26</v>
          </cell>
          <cell r="M134">
            <v>0</v>
          </cell>
          <cell r="N134">
            <v>2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26</v>
          </cell>
          <cell r="U134">
            <v>5310000</v>
          </cell>
          <cell r="V134">
            <v>700000</v>
          </cell>
          <cell r="W134">
            <v>100000</v>
          </cell>
          <cell r="X134">
            <v>0</v>
          </cell>
          <cell r="Y134">
            <v>0</v>
          </cell>
          <cell r="Z134">
            <v>6110000</v>
          </cell>
          <cell r="AA134">
            <v>5883703.7037037034</v>
          </cell>
          <cell r="AB134">
            <v>0</v>
          </cell>
          <cell r="AC134">
            <v>0</v>
          </cell>
          <cell r="AD134">
            <v>5883703.7037037034</v>
          </cell>
          <cell r="AF134">
            <v>350000</v>
          </cell>
          <cell r="AG134">
            <v>100000</v>
          </cell>
          <cell r="AH134">
            <v>8547272.5333333332</v>
          </cell>
          <cell r="AI134">
            <v>73750</v>
          </cell>
          <cell r="AJ134">
            <v>0</v>
          </cell>
          <cell r="AK134">
            <v>0</v>
          </cell>
          <cell r="AL134">
            <v>0</v>
          </cell>
          <cell r="AN134">
            <v>0</v>
          </cell>
          <cell r="AP134">
            <v>0</v>
          </cell>
          <cell r="AQ134">
            <v>14954726</v>
          </cell>
          <cell r="AR134">
            <v>14954726</v>
          </cell>
          <cell r="AS134">
            <v>557550</v>
          </cell>
          <cell r="AT134">
            <v>1141650</v>
          </cell>
          <cell r="AU134">
            <v>26550</v>
          </cell>
          <cell r="AV134">
            <v>106200</v>
          </cell>
          <cell r="AW134">
            <v>15500000</v>
          </cell>
          <cell r="AX134">
            <v>14080976</v>
          </cell>
          <cell r="AY134">
            <v>0</v>
          </cell>
          <cell r="AZ134">
            <v>0</v>
          </cell>
          <cell r="BC134">
            <v>584100</v>
          </cell>
          <cell r="BE134">
            <v>14370626</v>
          </cell>
          <cell r="BF134">
            <v>14370626</v>
          </cell>
          <cell r="BG134" t="str">
            <v>CK</v>
          </cell>
          <cell r="BH134">
            <v>8818552690</v>
          </cell>
          <cell r="BI134" t="str">
            <v>BIDV</v>
          </cell>
        </row>
        <row r="135">
          <cell r="L135">
            <v>130</v>
          </cell>
          <cell r="M135">
            <v>0</v>
          </cell>
          <cell r="N135">
            <v>4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130</v>
          </cell>
          <cell r="U135">
            <v>27100000</v>
          </cell>
          <cell r="V135">
            <v>3500000</v>
          </cell>
          <cell r="W135">
            <v>1200000</v>
          </cell>
          <cell r="X135">
            <v>300000</v>
          </cell>
          <cell r="Y135">
            <v>1000000</v>
          </cell>
          <cell r="Z135">
            <v>33100000</v>
          </cell>
          <cell r="AA135">
            <v>31874074.074074067</v>
          </cell>
          <cell r="AB135">
            <v>0</v>
          </cell>
          <cell r="AC135">
            <v>0</v>
          </cell>
          <cell r="AD135">
            <v>31874074.074074067</v>
          </cell>
          <cell r="AE135">
            <v>0</v>
          </cell>
          <cell r="AF135">
            <v>1750000</v>
          </cell>
          <cell r="AG135">
            <v>300000</v>
          </cell>
          <cell r="AH135">
            <v>47268223.306666665</v>
          </cell>
          <cell r="AI135">
            <v>147500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P135">
            <v>0</v>
          </cell>
          <cell r="AQ135">
            <v>81339797</v>
          </cell>
          <cell r="AR135">
            <v>81339797</v>
          </cell>
          <cell r="AS135">
            <v>2845500</v>
          </cell>
          <cell r="AT135">
            <v>5826500</v>
          </cell>
          <cell r="AU135">
            <v>135500</v>
          </cell>
          <cell r="AV135">
            <v>542000</v>
          </cell>
          <cell r="AW135">
            <v>77500000</v>
          </cell>
          <cell r="AX135">
            <v>75492297</v>
          </cell>
          <cell r="AY135">
            <v>4391920</v>
          </cell>
          <cell r="AZ135">
            <v>219596</v>
          </cell>
          <cell r="BA135">
            <v>0</v>
          </cell>
          <cell r="BB135">
            <v>0</v>
          </cell>
          <cell r="BC135">
            <v>3200596</v>
          </cell>
          <cell r="BD135">
            <v>0</v>
          </cell>
          <cell r="BE135">
            <v>78139201</v>
          </cell>
          <cell r="BF135">
            <v>78139201</v>
          </cell>
          <cell r="BG135">
            <v>0</v>
          </cell>
        </row>
        <row r="136">
          <cell r="C136" t="str">
            <v>VB00421</v>
          </cell>
          <cell r="D136" t="str">
            <v>PHAN THỊ HỒNG NHUNG</v>
          </cell>
          <cell r="E136" t="str">
            <v>CHT</v>
          </cell>
          <cell r="F136" t="str">
            <v>Cao cấp</v>
          </cell>
          <cell r="G136">
            <v>45466</v>
          </cell>
          <cell r="H136">
            <v>45527</v>
          </cell>
          <cell r="I136">
            <v>2</v>
          </cell>
          <cell r="J136" t="str">
            <v>Chính thức</v>
          </cell>
          <cell r="K136">
            <v>27</v>
          </cell>
          <cell r="L136">
            <v>26</v>
          </cell>
          <cell r="M136">
            <v>0</v>
          </cell>
          <cell r="N136">
            <v>23.5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26</v>
          </cell>
          <cell r="U136">
            <v>5860000</v>
          </cell>
          <cell r="V136">
            <v>700000</v>
          </cell>
          <cell r="W136">
            <v>1000000</v>
          </cell>
          <cell r="X136">
            <v>300000</v>
          </cell>
          <cell r="Y136">
            <v>400000</v>
          </cell>
          <cell r="Z136">
            <v>8260000</v>
          </cell>
          <cell r="AA136">
            <v>7954074.0740740737</v>
          </cell>
          <cell r="AB136">
            <v>0</v>
          </cell>
          <cell r="AC136">
            <v>0</v>
          </cell>
          <cell r="AD136">
            <v>7954074.0740740737</v>
          </cell>
          <cell r="AF136">
            <v>350000</v>
          </cell>
          <cell r="AG136">
            <v>0</v>
          </cell>
          <cell r="AH136">
            <v>4734396.1523684207</v>
          </cell>
          <cell r="AI136">
            <v>956319.4444444445</v>
          </cell>
          <cell r="AJ136">
            <v>0</v>
          </cell>
          <cell r="AK136">
            <v>0</v>
          </cell>
          <cell r="AL136">
            <v>0</v>
          </cell>
          <cell r="AN136">
            <v>0</v>
          </cell>
          <cell r="AP136">
            <v>0</v>
          </cell>
          <cell r="AQ136">
            <v>13994790</v>
          </cell>
          <cell r="AR136">
            <v>13994790</v>
          </cell>
          <cell r="AS136">
            <v>615300</v>
          </cell>
          <cell r="AT136">
            <v>1259900</v>
          </cell>
          <cell r="AU136">
            <v>29300</v>
          </cell>
          <cell r="AV136">
            <v>117200</v>
          </cell>
          <cell r="AW136">
            <v>15500000</v>
          </cell>
          <cell r="AX136">
            <v>10938471</v>
          </cell>
          <cell r="AY136">
            <v>0</v>
          </cell>
          <cell r="AZ136">
            <v>0</v>
          </cell>
          <cell r="BC136">
            <v>644600</v>
          </cell>
          <cell r="BE136">
            <v>13350190</v>
          </cell>
          <cell r="BF136">
            <v>13350190</v>
          </cell>
          <cell r="BG136" t="str">
            <v>CK</v>
          </cell>
          <cell r="BH136">
            <v>8872783122</v>
          </cell>
          <cell r="BI136" t="str">
            <v>BIDV</v>
          </cell>
          <cell r="BJ136">
            <v>46263</v>
          </cell>
        </row>
        <row r="137">
          <cell r="C137" t="str">
            <v>VB00422</v>
          </cell>
          <cell r="D137" t="str">
            <v>BÙI VŨ THÙY TRANG</v>
          </cell>
          <cell r="E137" t="str">
            <v>NVBH</v>
          </cell>
          <cell r="F137" t="str">
            <v>Trung cấp</v>
          </cell>
          <cell r="G137">
            <v>45466</v>
          </cell>
          <cell r="H137">
            <v>45527</v>
          </cell>
          <cell r="I137">
            <v>2</v>
          </cell>
          <cell r="J137" t="str">
            <v>Chính thức</v>
          </cell>
          <cell r="K137">
            <v>27</v>
          </cell>
          <cell r="L137">
            <v>26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26</v>
          </cell>
          <cell r="U137">
            <v>5310000</v>
          </cell>
          <cell r="V137">
            <v>700000</v>
          </cell>
          <cell r="W137">
            <v>200000</v>
          </cell>
          <cell r="X137">
            <v>0</v>
          </cell>
          <cell r="Y137">
            <v>0</v>
          </cell>
          <cell r="Z137">
            <v>6210000</v>
          </cell>
          <cell r="AA137">
            <v>5980000</v>
          </cell>
          <cell r="AB137">
            <v>0</v>
          </cell>
          <cell r="AC137">
            <v>0</v>
          </cell>
          <cell r="AD137">
            <v>5980000</v>
          </cell>
          <cell r="AF137">
            <v>350000</v>
          </cell>
          <cell r="AG137">
            <v>0</v>
          </cell>
          <cell r="AH137">
            <v>2868806.9894736847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0</v>
          </cell>
          <cell r="AP137">
            <v>0</v>
          </cell>
          <cell r="AQ137">
            <v>9198807</v>
          </cell>
          <cell r="AR137">
            <v>9198807</v>
          </cell>
          <cell r="AS137">
            <v>557550</v>
          </cell>
          <cell r="AT137">
            <v>1141650</v>
          </cell>
          <cell r="AU137">
            <v>26550</v>
          </cell>
          <cell r="AV137">
            <v>106200</v>
          </cell>
          <cell r="AW137">
            <v>15500000</v>
          </cell>
          <cell r="AX137">
            <v>8298807</v>
          </cell>
          <cell r="AY137">
            <v>0</v>
          </cell>
          <cell r="AZ137">
            <v>0</v>
          </cell>
          <cell r="BC137">
            <v>584100</v>
          </cell>
          <cell r="BE137">
            <v>8614707</v>
          </cell>
          <cell r="BF137">
            <v>8614707</v>
          </cell>
          <cell r="BG137" t="str">
            <v>CK</v>
          </cell>
          <cell r="BH137">
            <v>8883059275</v>
          </cell>
          <cell r="BI137" t="str">
            <v>BIDV - CN Bà Rịa Vũng Tàu</v>
          </cell>
          <cell r="BJ137">
            <v>46263</v>
          </cell>
        </row>
        <row r="138">
          <cell r="C138" t="str">
            <v>VB00424</v>
          </cell>
          <cell r="D138" t="str">
            <v>SẦM XUÂN ÁI</v>
          </cell>
          <cell r="E138" t="str">
            <v>NVBH</v>
          </cell>
          <cell r="F138" t="str">
            <v>Trung cấp</v>
          </cell>
          <cell r="G138">
            <v>45466</v>
          </cell>
          <cell r="H138">
            <v>45527</v>
          </cell>
          <cell r="I138">
            <v>2</v>
          </cell>
          <cell r="J138" t="str">
            <v>Chính thức</v>
          </cell>
          <cell r="K138">
            <v>27</v>
          </cell>
          <cell r="L138">
            <v>26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26</v>
          </cell>
          <cell r="U138">
            <v>5310000</v>
          </cell>
          <cell r="V138">
            <v>700000</v>
          </cell>
          <cell r="W138">
            <v>200000</v>
          </cell>
          <cell r="X138">
            <v>0</v>
          </cell>
          <cell r="Y138">
            <v>0</v>
          </cell>
          <cell r="Z138">
            <v>6210000</v>
          </cell>
          <cell r="AA138">
            <v>5980000</v>
          </cell>
          <cell r="AB138">
            <v>0</v>
          </cell>
          <cell r="AC138">
            <v>0</v>
          </cell>
          <cell r="AD138">
            <v>5980000</v>
          </cell>
          <cell r="AF138">
            <v>350000</v>
          </cell>
          <cell r="AG138">
            <v>0</v>
          </cell>
          <cell r="AH138">
            <v>2840911.4315789477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N138">
            <v>0</v>
          </cell>
          <cell r="AP138">
            <v>0</v>
          </cell>
          <cell r="AQ138">
            <v>9170911</v>
          </cell>
          <cell r="AR138">
            <v>9170911</v>
          </cell>
          <cell r="AS138">
            <v>557550</v>
          </cell>
          <cell r="AT138">
            <v>1141650</v>
          </cell>
          <cell r="AU138">
            <v>26550</v>
          </cell>
          <cell r="AV138">
            <v>106200</v>
          </cell>
          <cell r="AW138">
            <v>15500000</v>
          </cell>
          <cell r="AX138">
            <v>8270911</v>
          </cell>
          <cell r="AY138">
            <v>0</v>
          </cell>
          <cell r="AZ138">
            <v>0</v>
          </cell>
          <cell r="BC138">
            <v>584100</v>
          </cell>
          <cell r="BE138">
            <v>8586811</v>
          </cell>
          <cell r="BF138">
            <v>8586811</v>
          </cell>
          <cell r="BG138" t="str">
            <v>CK</v>
          </cell>
          <cell r="BH138">
            <v>8862634700</v>
          </cell>
          <cell r="BI138" t="str">
            <v>BIDV</v>
          </cell>
          <cell r="BJ138">
            <v>46263</v>
          </cell>
        </row>
        <row r="139">
          <cell r="C139" t="str">
            <v>VB00425</v>
          </cell>
          <cell r="D139" t="str">
            <v>TRẦN THỊ MỸ TUYỀN</v>
          </cell>
          <cell r="E139" t="str">
            <v>NVBH</v>
          </cell>
          <cell r="F139" t="str">
            <v>Trung cấp</v>
          </cell>
          <cell r="G139">
            <v>45466</v>
          </cell>
          <cell r="H139">
            <v>45527</v>
          </cell>
          <cell r="I139">
            <v>2</v>
          </cell>
          <cell r="J139" t="str">
            <v>Chính thức</v>
          </cell>
          <cell r="K139">
            <v>27</v>
          </cell>
          <cell r="L139">
            <v>26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26</v>
          </cell>
          <cell r="U139">
            <v>5310000</v>
          </cell>
          <cell r="V139">
            <v>700000</v>
          </cell>
          <cell r="W139">
            <v>200000</v>
          </cell>
          <cell r="X139">
            <v>0</v>
          </cell>
          <cell r="Y139">
            <v>0</v>
          </cell>
          <cell r="Z139">
            <v>6210000</v>
          </cell>
          <cell r="AA139">
            <v>5980000</v>
          </cell>
          <cell r="AB139">
            <v>0</v>
          </cell>
          <cell r="AC139">
            <v>0</v>
          </cell>
          <cell r="AD139">
            <v>5980000</v>
          </cell>
          <cell r="AF139">
            <v>0</v>
          </cell>
          <cell r="AG139">
            <v>0</v>
          </cell>
          <cell r="AH139">
            <v>2833593.2915508775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N139">
            <v>0</v>
          </cell>
          <cell r="AP139">
            <v>0</v>
          </cell>
          <cell r="AQ139">
            <v>8813593</v>
          </cell>
          <cell r="AR139">
            <v>8813593</v>
          </cell>
          <cell r="AS139">
            <v>557550</v>
          </cell>
          <cell r="AT139">
            <v>1141650</v>
          </cell>
          <cell r="AU139">
            <v>26550</v>
          </cell>
          <cell r="AV139">
            <v>106200</v>
          </cell>
          <cell r="AW139">
            <v>15500000</v>
          </cell>
          <cell r="AX139">
            <v>7913593</v>
          </cell>
          <cell r="AY139">
            <v>0</v>
          </cell>
          <cell r="AZ139">
            <v>0</v>
          </cell>
          <cell r="BC139">
            <v>584100</v>
          </cell>
          <cell r="BE139">
            <v>8229493</v>
          </cell>
          <cell r="BF139">
            <v>8229493</v>
          </cell>
          <cell r="BG139" t="str">
            <v>CK</v>
          </cell>
          <cell r="BH139">
            <v>8882646327</v>
          </cell>
          <cell r="BI139" t="str">
            <v>BIDV</v>
          </cell>
          <cell r="BJ139">
            <v>46263</v>
          </cell>
        </row>
        <row r="140">
          <cell r="C140" t="str">
            <v>VB00443</v>
          </cell>
          <cell r="D140" t="str">
            <v>VŨ NGỌC NGUYÊN HIỀN</v>
          </cell>
          <cell r="E140" t="str">
            <v>NVBH</v>
          </cell>
          <cell r="F140" t="str">
            <v>Trung cấp</v>
          </cell>
          <cell r="G140">
            <v>45516</v>
          </cell>
          <cell r="H140">
            <v>45580</v>
          </cell>
          <cell r="I140">
            <v>1</v>
          </cell>
          <cell r="J140" t="str">
            <v>Chính thức</v>
          </cell>
          <cell r="K140">
            <v>27</v>
          </cell>
          <cell r="L140">
            <v>26</v>
          </cell>
          <cell r="M140">
            <v>0</v>
          </cell>
          <cell r="N140">
            <v>6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26</v>
          </cell>
          <cell r="U140">
            <v>5310000</v>
          </cell>
          <cell r="V140">
            <v>700000</v>
          </cell>
          <cell r="W140">
            <v>200000</v>
          </cell>
          <cell r="X140">
            <v>0</v>
          </cell>
          <cell r="Y140">
            <v>0</v>
          </cell>
          <cell r="Z140">
            <v>6210000</v>
          </cell>
          <cell r="AA140">
            <v>5980000</v>
          </cell>
          <cell r="AB140">
            <v>0</v>
          </cell>
          <cell r="AC140">
            <v>0</v>
          </cell>
          <cell r="AD140">
            <v>5980000</v>
          </cell>
          <cell r="AF140">
            <v>350000</v>
          </cell>
          <cell r="AG140">
            <v>0</v>
          </cell>
          <cell r="AH140">
            <v>2508721.8909052634</v>
          </cell>
          <cell r="AI140">
            <v>221250</v>
          </cell>
          <cell r="AJ140">
            <v>0</v>
          </cell>
          <cell r="AK140">
            <v>0</v>
          </cell>
          <cell r="AL140">
            <v>0</v>
          </cell>
          <cell r="AN140">
            <v>0</v>
          </cell>
          <cell r="AP140">
            <v>0</v>
          </cell>
          <cell r="AQ140">
            <v>9059972</v>
          </cell>
          <cell r="AR140">
            <v>9059972</v>
          </cell>
          <cell r="AS140">
            <v>557550</v>
          </cell>
          <cell r="AT140">
            <v>1141650</v>
          </cell>
          <cell r="AU140">
            <v>26550</v>
          </cell>
          <cell r="AV140">
            <v>106200</v>
          </cell>
          <cell r="AW140">
            <v>15500000</v>
          </cell>
          <cell r="AX140">
            <v>7938722</v>
          </cell>
          <cell r="AY140">
            <v>0</v>
          </cell>
          <cell r="AZ140">
            <v>0</v>
          </cell>
          <cell r="BC140">
            <v>584100</v>
          </cell>
          <cell r="BE140">
            <v>8475872</v>
          </cell>
          <cell r="BF140">
            <v>8475872</v>
          </cell>
          <cell r="BG140" t="str">
            <v>CK</v>
          </cell>
          <cell r="BH140">
            <v>8883279798</v>
          </cell>
          <cell r="BI140" t="str">
            <v>BIDV - CN Bà Rịa Vũng Tàu</v>
          </cell>
          <cell r="BJ140">
            <v>46263</v>
          </cell>
        </row>
        <row r="141">
          <cell r="K141">
            <v>135</v>
          </cell>
          <cell r="L141">
            <v>130</v>
          </cell>
          <cell r="M141">
            <v>0</v>
          </cell>
          <cell r="N141">
            <v>29.5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130</v>
          </cell>
          <cell r="U141">
            <v>27100000</v>
          </cell>
          <cell r="V141">
            <v>3500000</v>
          </cell>
          <cell r="W141">
            <v>1800000</v>
          </cell>
          <cell r="X141">
            <v>300000</v>
          </cell>
          <cell r="Y141">
            <v>400000</v>
          </cell>
          <cell r="Z141">
            <v>33100000</v>
          </cell>
          <cell r="AA141">
            <v>31874074.074074075</v>
          </cell>
          <cell r="AB141">
            <v>0</v>
          </cell>
          <cell r="AC141">
            <v>0</v>
          </cell>
          <cell r="AD141">
            <v>31874074.074074075</v>
          </cell>
          <cell r="AE141">
            <v>0</v>
          </cell>
          <cell r="AF141">
            <v>1400000</v>
          </cell>
          <cell r="AG141">
            <v>0</v>
          </cell>
          <cell r="AH141">
            <v>15786429.755877195</v>
          </cell>
          <cell r="AI141">
            <v>1177569.4444444445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P141">
            <v>0</v>
          </cell>
          <cell r="AQ141">
            <v>50238073</v>
          </cell>
          <cell r="AR141">
            <v>50238073</v>
          </cell>
          <cell r="AS141">
            <v>2845500</v>
          </cell>
          <cell r="AT141">
            <v>5826500</v>
          </cell>
          <cell r="AU141">
            <v>135500</v>
          </cell>
          <cell r="AV141">
            <v>542000</v>
          </cell>
          <cell r="AW141">
            <v>77500000</v>
          </cell>
          <cell r="AX141">
            <v>43360504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2981000</v>
          </cell>
          <cell r="BD141">
            <v>0</v>
          </cell>
          <cell r="BE141">
            <v>47257073</v>
          </cell>
          <cell r="BF141">
            <v>47257073</v>
          </cell>
        </row>
        <row r="142">
          <cell r="C142" t="str">
            <v>VB00607</v>
          </cell>
          <cell r="D142" t="str">
            <v>NGUYỄN THỊ THANH NGỌC</v>
          </cell>
          <cell r="E142" t="str">
            <v>NVBH</v>
          </cell>
          <cell r="F142" t="str">
            <v>Trung cấp</v>
          </cell>
          <cell r="G142">
            <v>45901</v>
          </cell>
          <cell r="H142">
            <v>45962</v>
          </cell>
          <cell r="I142">
            <v>0</v>
          </cell>
          <cell r="J142" t="str">
            <v>Chính thức</v>
          </cell>
          <cell r="K142">
            <v>27</v>
          </cell>
          <cell r="L142">
            <v>26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26</v>
          </cell>
          <cell r="U142">
            <v>5310000</v>
          </cell>
          <cell r="V142">
            <v>700000</v>
          </cell>
          <cell r="W142">
            <v>150000</v>
          </cell>
          <cell r="X142">
            <v>400000</v>
          </cell>
          <cell r="Y142">
            <v>0</v>
          </cell>
          <cell r="Z142">
            <v>6560000</v>
          </cell>
          <cell r="AA142">
            <v>6317037.0370370364</v>
          </cell>
          <cell r="AB142">
            <v>0</v>
          </cell>
          <cell r="AC142">
            <v>0</v>
          </cell>
          <cell r="AD142">
            <v>6317037.0370370364</v>
          </cell>
          <cell r="AF142">
            <v>350000</v>
          </cell>
          <cell r="AG142">
            <v>0</v>
          </cell>
          <cell r="AH142">
            <v>3275088.5795121957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>
            <v>0</v>
          </cell>
          <cell r="AP142">
            <v>0</v>
          </cell>
          <cell r="AQ142">
            <v>9942126</v>
          </cell>
          <cell r="AR142">
            <v>9942126</v>
          </cell>
          <cell r="AS142">
            <v>557550</v>
          </cell>
          <cell r="AT142">
            <v>1141650</v>
          </cell>
          <cell r="AU142">
            <v>26550</v>
          </cell>
          <cell r="AV142">
            <v>106200</v>
          </cell>
          <cell r="AW142">
            <v>15500000</v>
          </cell>
          <cell r="AX142">
            <v>9092126</v>
          </cell>
          <cell r="AY142">
            <v>0</v>
          </cell>
          <cell r="AZ142">
            <v>0</v>
          </cell>
          <cell r="BC142">
            <v>584100</v>
          </cell>
          <cell r="BE142">
            <v>9358026</v>
          </cell>
          <cell r="BF142">
            <v>9358026</v>
          </cell>
          <cell r="BG142" t="str">
            <v>CK</v>
          </cell>
          <cell r="BH142">
            <v>8856564344</v>
          </cell>
          <cell r="BI142" t="str">
            <v>BIDV</v>
          </cell>
        </row>
        <row r="143">
          <cell r="C143" t="str">
            <v>VB00667</v>
          </cell>
          <cell r="D143" t="str">
            <v>ĐINH THÙY TRANG</v>
          </cell>
          <cell r="E143" t="str">
            <v>CHT</v>
          </cell>
          <cell r="F143" t="str">
            <v>Trung cấp</v>
          </cell>
          <cell r="G143">
            <v>46101</v>
          </cell>
          <cell r="H143">
            <v>46162</v>
          </cell>
          <cell r="I143">
            <v>0</v>
          </cell>
          <cell r="J143" t="str">
            <v>Chính thức</v>
          </cell>
          <cell r="K143">
            <v>27</v>
          </cell>
          <cell r="L143">
            <v>26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26</v>
          </cell>
          <cell r="U143">
            <v>5860000</v>
          </cell>
          <cell r="V143">
            <v>700000</v>
          </cell>
          <cell r="W143">
            <v>1000000</v>
          </cell>
          <cell r="X143">
            <v>600000</v>
          </cell>
          <cell r="Y143">
            <v>400000</v>
          </cell>
          <cell r="Z143">
            <v>8560000</v>
          </cell>
          <cell r="AA143">
            <v>8242962.9629629627</v>
          </cell>
          <cell r="AB143">
            <v>0</v>
          </cell>
          <cell r="AC143">
            <v>0</v>
          </cell>
          <cell r="AD143">
            <v>8242962.9629629627</v>
          </cell>
          <cell r="AF143">
            <v>350000</v>
          </cell>
          <cell r="AG143">
            <v>0</v>
          </cell>
          <cell r="AH143">
            <v>5259846.951219514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N143">
            <v>0</v>
          </cell>
          <cell r="AP143">
            <v>0</v>
          </cell>
          <cell r="AQ143">
            <v>13852810</v>
          </cell>
          <cell r="AR143">
            <v>13852810</v>
          </cell>
          <cell r="AS143">
            <v>615300</v>
          </cell>
          <cell r="AT143">
            <v>1259900</v>
          </cell>
          <cell r="AU143">
            <v>29300</v>
          </cell>
          <cell r="AV143">
            <v>117200</v>
          </cell>
          <cell r="AW143">
            <v>15500000</v>
          </cell>
          <cell r="AX143">
            <v>11752810</v>
          </cell>
          <cell r="AY143">
            <v>0</v>
          </cell>
          <cell r="AZ143">
            <v>0</v>
          </cell>
          <cell r="BC143">
            <v>644600</v>
          </cell>
          <cell r="BE143">
            <v>13208210</v>
          </cell>
          <cell r="BF143">
            <v>13208210</v>
          </cell>
          <cell r="BG143" t="str">
            <v>CK</v>
          </cell>
          <cell r="BH143">
            <v>8898359452</v>
          </cell>
          <cell r="BI143" t="str">
            <v>BIDV</v>
          </cell>
        </row>
        <row r="144">
          <cell r="C144" t="str">
            <v>VB00681</v>
          </cell>
          <cell r="D144" t="str">
            <v>NGUYỄN MINH THI</v>
          </cell>
          <cell r="E144" t="str">
            <v>NVBH</v>
          </cell>
          <cell r="F144" t="str">
            <v>Sơ cấp</v>
          </cell>
          <cell r="G144">
            <v>46113</v>
          </cell>
          <cell r="H144">
            <v>46174</v>
          </cell>
          <cell r="I144">
            <v>0</v>
          </cell>
          <cell r="J144" t="str">
            <v>Chính thức</v>
          </cell>
          <cell r="K144">
            <v>27</v>
          </cell>
          <cell r="L144">
            <v>26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26</v>
          </cell>
          <cell r="U144">
            <v>5310000</v>
          </cell>
          <cell r="V144">
            <v>700000</v>
          </cell>
          <cell r="W144">
            <v>170000</v>
          </cell>
          <cell r="X144">
            <v>0</v>
          </cell>
          <cell r="Y144">
            <v>0</v>
          </cell>
          <cell r="Z144">
            <v>6180000</v>
          </cell>
          <cell r="AA144">
            <v>5951111.111111111</v>
          </cell>
          <cell r="AB144">
            <v>0</v>
          </cell>
          <cell r="AC144">
            <v>0</v>
          </cell>
          <cell r="AD144">
            <v>5951111.111111111</v>
          </cell>
          <cell r="AF144">
            <v>350000</v>
          </cell>
          <cell r="AG144">
            <v>0</v>
          </cell>
          <cell r="AH144">
            <v>2182075.2390243905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>
            <v>0</v>
          </cell>
          <cell r="AP144">
            <v>0</v>
          </cell>
          <cell r="AQ144">
            <v>8483186</v>
          </cell>
          <cell r="AR144">
            <v>8483186</v>
          </cell>
          <cell r="AS144">
            <v>557550</v>
          </cell>
          <cell r="AT144">
            <v>1141650</v>
          </cell>
          <cell r="AU144">
            <v>26550</v>
          </cell>
          <cell r="AV144">
            <v>106200</v>
          </cell>
          <cell r="AW144">
            <v>15500000</v>
          </cell>
          <cell r="AX144">
            <v>7613186</v>
          </cell>
          <cell r="AY144">
            <v>0</v>
          </cell>
          <cell r="AZ144">
            <v>0</v>
          </cell>
          <cell r="BC144">
            <v>584100</v>
          </cell>
          <cell r="BE144">
            <v>7899086</v>
          </cell>
          <cell r="BF144">
            <v>7899086</v>
          </cell>
          <cell r="BG144" t="str">
            <v>CK</v>
          </cell>
          <cell r="BH144">
            <v>8860706111</v>
          </cell>
          <cell r="BI144" t="str">
            <v>BIDV</v>
          </cell>
        </row>
        <row r="145">
          <cell r="C145" t="str">
            <v>VB00680</v>
          </cell>
          <cell r="D145" t="str">
            <v>NGUYỄN THỊ BÍCH NGA</v>
          </cell>
          <cell r="E145" t="str">
            <v>NVBH</v>
          </cell>
          <cell r="F145" t="str">
            <v>Sơ cấp</v>
          </cell>
          <cell r="G145">
            <v>46118</v>
          </cell>
          <cell r="H145">
            <v>46179</v>
          </cell>
          <cell r="I145">
            <v>0</v>
          </cell>
          <cell r="J145" t="str">
            <v>Chính thức</v>
          </cell>
          <cell r="K145">
            <v>27</v>
          </cell>
          <cell r="L145">
            <v>22</v>
          </cell>
          <cell r="M145">
            <v>4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26</v>
          </cell>
          <cell r="U145">
            <v>5310000</v>
          </cell>
          <cell r="V145">
            <v>700000</v>
          </cell>
          <cell r="W145">
            <v>170000</v>
          </cell>
          <cell r="X145">
            <v>0</v>
          </cell>
          <cell r="Y145">
            <v>0</v>
          </cell>
          <cell r="Z145">
            <v>6180000</v>
          </cell>
          <cell r="AA145">
            <v>5035555.555555555</v>
          </cell>
          <cell r="AB145">
            <v>778222.22222222225</v>
          </cell>
          <cell r="AC145">
            <v>0</v>
          </cell>
          <cell r="AD145">
            <v>5813777.7777777771</v>
          </cell>
          <cell r="AF145">
            <v>350000</v>
          </cell>
          <cell r="AG145">
            <v>0</v>
          </cell>
          <cell r="AH145">
            <v>3344178.6204878064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N145">
            <v>0</v>
          </cell>
          <cell r="AP145">
            <v>0</v>
          </cell>
          <cell r="AQ145">
            <v>9507956</v>
          </cell>
          <cell r="AR145">
            <v>9507956</v>
          </cell>
          <cell r="AS145">
            <v>557550</v>
          </cell>
          <cell r="AT145">
            <v>1141650</v>
          </cell>
          <cell r="AU145">
            <v>26550</v>
          </cell>
          <cell r="AV145">
            <v>106200</v>
          </cell>
          <cell r="AW145">
            <v>15500000</v>
          </cell>
          <cell r="AX145">
            <v>8637956</v>
          </cell>
          <cell r="AY145">
            <v>0</v>
          </cell>
          <cell r="AZ145">
            <v>0</v>
          </cell>
          <cell r="BC145">
            <v>584100</v>
          </cell>
          <cell r="BE145">
            <v>8923856</v>
          </cell>
          <cell r="BF145">
            <v>8923856</v>
          </cell>
          <cell r="BG145" t="str">
            <v>CK</v>
          </cell>
          <cell r="BH145">
            <v>8808659115</v>
          </cell>
          <cell r="BI145" t="str">
            <v>BIDV</v>
          </cell>
        </row>
        <row r="146">
          <cell r="L146">
            <v>100</v>
          </cell>
          <cell r="M146">
            <v>4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104</v>
          </cell>
          <cell r="U146">
            <v>21790000</v>
          </cell>
          <cell r="V146">
            <v>2800000</v>
          </cell>
          <cell r="W146">
            <v>1490000</v>
          </cell>
          <cell r="X146">
            <v>1000000</v>
          </cell>
          <cell r="Y146">
            <v>400000</v>
          </cell>
          <cell r="Z146">
            <v>27480000</v>
          </cell>
          <cell r="AA146">
            <v>25546666.666666668</v>
          </cell>
          <cell r="AB146">
            <v>778222.22222222225</v>
          </cell>
          <cell r="AC146">
            <v>0</v>
          </cell>
          <cell r="AD146">
            <v>26324888.888888888</v>
          </cell>
          <cell r="AE146">
            <v>0</v>
          </cell>
          <cell r="AF146">
            <v>1400000</v>
          </cell>
          <cell r="AG146">
            <v>0</v>
          </cell>
          <cell r="AH146">
            <v>14061189.390243907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41786078</v>
          </cell>
          <cell r="AR146">
            <v>41786078</v>
          </cell>
          <cell r="AS146">
            <v>2287950</v>
          </cell>
          <cell r="AT146">
            <v>4684850</v>
          </cell>
          <cell r="AU146">
            <v>108950</v>
          </cell>
          <cell r="AV146">
            <v>435800</v>
          </cell>
          <cell r="AW146">
            <v>62000000</v>
          </cell>
          <cell r="AX146">
            <v>37096078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2396900</v>
          </cell>
          <cell r="BD146">
            <v>0</v>
          </cell>
          <cell r="BE146">
            <v>39389178</v>
          </cell>
          <cell r="BF146">
            <v>39389178</v>
          </cell>
        </row>
        <row r="147">
          <cell r="C147" t="str">
            <v>VB00447</v>
          </cell>
          <cell r="D147" t="str">
            <v>LÊ ĐĂNG ANH</v>
          </cell>
          <cell r="E147" t="str">
            <v>CHT</v>
          </cell>
          <cell r="F147" t="str">
            <v>Cao cấp</v>
          </cell>
          <cell r="G147">
            <v>45526</v>
          </cell>
          <cell r="H147">
            <v>45587</v>
          </cell>
          <cell r="I147">
            <v>1</v>
          </cell>
          <cell r="J147" t="str">
            <v>Chính thức</v>
          </cell>
          <cell r="K147">
            <v>27</v>
          </cell>
          <cell r="L147">
            <v>26</v>
          </cell>
          <cell r="M147">
            <v>0</v>
          </cell>
          <cell r="N147">
            <v>20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26</v>
          </cell>
          <cell r="U147">
            <v>5860000</v>
          </cell>
          <cell r="V147">
            <v>700000</v>
          </cell>
          <cell r="W147">
            <v>1000000</v>
          </cell>
          <cell r="X147">
            <v>1100000</v>
          </cell>
          <cell r="Y147">
            <v>400000</v>
          </cell>
          <cell r="Z147">
            <v>9060000</v>
          </cell>
          <cell r="AA147">
            <v>8724444.444444444</v>
          </cell>
          <cell r="AB147">
            <v>0</v>
          </cell>
          <cell r="AC147">
            <v>0</v>
          </cell>
          <cell r="AD147">
            <v>8724444.444444444</v>
          </cell>
          <cell r="AF147">
            <v>350000</v>
          </cell>
          <cell r="AH147">
            <v>3673773.8524590167</v>
          </cell>
          <cell r="AI147">
            <v>813888.88888888888</v>
          </cell>
          <cell r="AJ147">
            <v>0</v>
          </cell>
          <cell r="AK147">
            <v>0</v>
          </cell>
          <cell r="AL147">
            <v>0</v>
          </cell>
          <cell r="AN147">
            <v>0</v>
          </cell>
          <cell r="AP147">
            <v>0</v>
          </cell>
          <cell r="AQ147">
            <v>13562107</v>
          </cell>
          <cell r="AR147">
            <v>13562107</v>
          </cell>
          <cell r="AS147">
            <v>615300</v>
          </cell>
          <cell r="AT147">
            <v>1259900</v>
          </cell>
          <cell r="AU147">
            <v>29300</v>
          </cell>
          <cell r="AV147">
            <v>117200</v>
          </cell>
          <cell r="AW147">
            <v>15500000</v>
          </cell>
          <cell r="AX147">
            <v>10648218</v>
          </cell>
          <cell r="AY147">
            <v>0</v>
          </cell>
          <cell r="AZ147">
            <v>0</v>
          </cell>
          <cell r="BC147">
            <v>644600</v>
          </cell>
          <cell r="BE147">
            <v>12917507</v>
          </cell>
          <cell r="BF147">
            <v>12917507</v>
          </cell>
          <cell r="BG147" t="str">
            <v>CK</v>
          </cell>
          <cell r="BH147">
            <v>8823369887</v>
          </cell>
          <cell r="BI147" t="str">
            <v>BIDV</v>
          </cell>
        </row>
        <row r="148">
          <cell r="C148" t="str">
            <v>VB00449</v>
          </cell>
          <cell r="D148" t="str">
            <v>TRẦN HUỲNH PHÚC</v>
          </cell>
          <cell r="E148" t="str">
            <v>NVBH</v>
          </cell>
          <cell r="F148" t="str">
            <v>Cao cấp</v>
          </cell>
          <cell r="G148">
            <v>45534</v>
          </cell>
          <cell r="H148">
            <v>45595</v>
          </cell>
          <cell r="I148">
            <v>1</v>
          </cell>
          <cell r="J148" t="str">
            <v>Chính thức</v>
          </cell>
          <cell r="K148">
            <v>27</v>
          </cell>
          <cell r="L148">
            <v>26</v>
          </cell>
          <cell r="M148">
            <v>0</v>
          </cell>
          <cell r="N148">
            <v>15.5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26</v>
          </cell>
          <cell r="U148">
            <v>5310000</v>
          </cell>
          <cell r="V148">
            <v>700000</v>
          </cell>
          <cell r="W148">
            <v>350000</v>
          </cell>
          <cell r="X148">
            <v>500000</v>
          </cell>
          <cell r="Z148">
            <v>6860000</v>
          </cell>
          <cell r="AA148">
            <v>6605925.9259259263</v>
          </cell>
          <cell r="AB148">
            <v>0</v>
          </cell>
          <cell r="AC148">
            <v>0</v>
          </cell>
          <cell r="AD148">
            <v>6605925.9259259263</v>
          </cell>
          <cell r="AF148">
            <v>350000</v>
          </cell>
          <cell r="AH148">
            <v>2694166.885245902</v>
          </cell>
          <cell r="AI148">
            <v>571562.5</v>
          </cell>
          <cell r="AJ148">
            <v>0</v>
          </cell>
          <cell r="AK148">
            <v>0</v>
          </cell>
          <cell r="AL148">
            <v>0</v>
          </cell>
          <cell r="AN148">
            <v>0</v>
          </cell>
          <cell r="AP148">
            <v>0</v>
          </cell>
          <cell r="AQ148">
            <v>10221655</v>
          </cell>
          <cell r="AR148">
            <v>10221655</v>
          </cell>
          <cell r="AS148">
            <v>557550</v>
          </cell>
          <cell r="AT148">
            <v>1141650</v>
          </cell>
          <cell r="AU148">
            <v>26550</v>
          </cell>
          <cell r="AV148">
            <v>106200</v>
          </cell>
          <cell r="AW148">
            <v>15500000</v>
          </cell>
          <cell r="AX148">
            <v>8600093</v>
          </cell>
          <cell r="AY148">
            <v>0</v>
          </cell>
          <cell r="AZ148">
            <v>0</v>
          </cell>
          <cell r="BC148">
            <v>584100</v>
          </cell>
          <cell r="BE148">
            <v>9637555</v>
          </cell>
          <cell r="BF148">
            <v>9637555</v>
          </cell>
          <cell r="BG148" t="str">
            <v>CK</v>
          </cell>
          <cell r="BH148">
            <v>8893372595</v>
          </cell>
          <cell r="BI148" t="str">
            <v>BIDV - CN Q8</v>
          </cell>
        </row>
        <row r="149">
          <cell r="C149" t="str">
            <v>VB00451</v>
          </cell>
          <cell r="D149" t="str">
            <v>NGUYỄN THỊ KIM NGÂN</v>
          </cell>
          <cell r="E149" t="str">
            <v>NVBH</v>
          </cell>
          <cell r="F149" t="str">
            <v>Trung cấp</v>
          </cell>
          <cell r="G149">
            <v>45535</v>
          </cell>
          <cell r="H149">
            <v>45596</v>
          </cell>
          <cell r="I149">
            <v>1</v>
          </cell>
          <cell r="J149" t="str">
            <v>Chính thức</v>
          </cell>
          <cell r="K149">
            <v>27</v>
          </cell>
          <cell r="L149">
            <v>26</v>
          </cell>
          <cell r="M149">
            <v>0</v>
          </cell>
          <cell r="N149">
            <v>28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26</v>
          </cell>
          <cell r="U149">
            <v>5310000</v>
          </cell>
          <cell r="V149">
            <v>700000</v>
          </cell>
          <cell r="W149">
            <v>150000</v>
          </cell>
          <cell r="X149">
            <v>400000</v>
          </cell>
          <cell r="Y149">
            <v>0</v>
          </cell>
          <cell r="Z149">
            <v>6560000</v>
          </cell>
          <cell r="AA149">
            <v>6317037.0370370364</v>
          </cell>
          <cell r="AB149">
            <v>0</v>
          </cell>
          <cell r="AC149">
            <v>0</v>
          </cell>
          <cell r="AD149">
            <v>6317037.0370370364</v>
          </cell>
          <cell r="AF149">
            <v>350000</v>
          </cell>
          <cell r="AH149">
            <v>2426167.5016393447</v>
          </cell>
          <cell r="AI149">
            <v>1032499.9999999999</v>
          </cell>
          <cell r="AJ149">
            <v>0</v>
          </cell>
          <cell r="AK149">
            <v>0</v>
          </cell>
          <cell r="AL149">
            <v>0</v>
          </cell>
          <cell r="AN149">
            <v>0</v>
          </cell>
          <cell r="AP149">
            <v>0</v>
          </cell>
          <cell r="AQ149">
            <v>10125705</v>
          </cell>
          <cell r="AR149">
            <v>10125705</v>
          </cell>
          <cell r="AS149">
            <v>557550</v>
          </cell>
          <cell r="AT149">
            <v>1141650</v>
          </cell>
          <cell r="AU149">
            <v>26550</v>
          </cell>
          <cell r="AV149">
            <v>106200</v>
          </cell>
          <cell r="AW149">
            <v>15500000</v>
          </cell>
          <cell r="AX149">
            <v>8243205</v>
          </cell>
          <cell r="AY149">
            <v>0</v>
          </cell>
          <cell r="AZ149">
            <v>0</v>
          </cell>
          <cell r="BC149">
            <v>584100</v>
          </cell>
          <cell r="BE149">
            <v>9541605</v>
          </cell>
          <cell r="BF149">
            <v>9541605</v>
          </cell>
          <cell r="BG149" t="str">
            <v>CK</v>
          </cell>
          <cell r="BH149">
            <v>8803375234</v>
          </cell>
          <cell r="BI149" t="str">
            <v>BIDV</v>
          </cell>
        </row>
        <row r="150">
          <cell r="C150" t="str">
            <v>VB00461</v>
          </cell>
          <cell r="D150" t="str">
            <v>ĐOÀN HỒNG KIM NGÂN</v>
          </cell>
          <cell r="E150" t="str">
            <v>NVBH</v>
          </cell>
          <cell r="F150" t="str">
            <v>Cao cấp</v>
          </cell>
          <cell r="G150">
            <v>45546</v>
          </cell>
          <cell r="H150">
            <v>45607</v>
          </cell>
          <cell r="I150">
            <v>1</v>
          </cell>
          <cell r="J150" t="str">
            <v>Chính thức</v>
          </cell>
          <cell r="K150">
            <v>27</v>
          </cell>
          <cell r="L150">
            <v>26</v>
          </cell>
          <cell r="M150">
            <v>0</v>
          </cell>
          <cell r="N150">
            <v>17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26</v>
          </cell>
          <cell r="U150">
            <v>5310000</v>
          </cell>
          <cell r="V150">
            <v>700000</v>
          </cell>
          <cell r="W150">
            <v>350000</v>
          </cell>
          <cell r="X150">
            <v>500000</v>
          </cell>
          <cell r="Z150">
            <v>6860000</v>
          </cell>
          <cell r="AA150">
            <v>6605925.9259259263</v>
          </cell>
          <cell r="AB150">
            <v>0</v>
          </cell>
          <cell r="AC150">
            <v>0</v>
          </cell>
          <cell r="AD150">
            <v>6605925.9259259263</v>
          </cell>
          <cell r="AF150">
            <v>350000</v>
          </cell>
          <cell r="AH150">
            <v>2329729.1672131149</v>
          </cell>
          <cell r="AI150">
            <v>626875</v>
          </cell>
          <cell r="AJ150">
            <v>0</v>
          </cell>
          <cell r="AK150">
            <v>0</v>
          </cell>
          <cell r="AL150">
            <v>0</v>
          </cell>
          <cell r="AN150">
            <v>0</v>
          </cell>
          <cell r="AP150">
            <v>0</v>
          </cell>
          <cell r="AQ150">
            <v>9912530</v>
          </cell>
          <cell r="AR150">
            <v>9912530</v>
          </cell>
          <cell r="AS150">
            <v>557550</v>
          </cell>
          <cell r="AT150">
            <v>1141650</v>
          </cell>
          <cell r="AU150">
            <v>26550</v>
          </cell>
          <cell r="AV150">
            <v>106200</v>
          </cell>
          <cell r="AW150">
            <v>15500000</v>
          </cell>
          <cell r="AX150">
            <v>8235655</v>
          </cell>
          <cell r="AY150">
            <v>0</v>
          </cell>
          <cell r="AZ150">
            <v>0</v>
          </cell>
          <cell r="BC150">
            <v>584100</v>
          </cell>
          <cell r="BE150">
            <v>9328430</v>
          </cell>
          <cell r="BF150">
            <v>9328430</v>
          </cell>
          <cell r="BG150" t="str">
            <v>CK</v>
          </cell>
          <cell r="BH150">
            <v>8813582049</v>
          </cell>
          <cell r="BI150" t="str">
            <v>BIDV</v>
          </cell>
        </row>
        <row r="151">
          <cell r="C151" t="str">
            <v>VB00626</v>
          </cell>
          <cell r="D151" t="str">
            <v>NGUYỄN NGỌC THÚY</v>
          </cell>
          <cell r="E151" t="str">
            <v>NVBH</v>
          </cell>
          <cell r="F151" t="str">
            <v>Trung cấp</v>
          </cell>
          <cell r="G151">
            <v>45962</v>
          </cell>
          <cell r="H151">
            <v>46023</v>
          </cell>
          <cell r="I151">
            <v>0</v>
          </cell>
          <cell r="J151" t="str">
            <v>Chính thức</v>
          </cell>
          <cell r="K151">
            <v>27</v>
          </cell>
          <cell r="L151">
            <v>26</v>
          </cell>
          <cell r="M151">
            <v>0</v>
          </cell>
          <cell r="N151">
            <v>15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26</v>
          </cell>
          <cell r="U151">
            <v>5310000</v>
          </cell>
          <cell r="V151">
            <v>700000</v>
          </cell>
          <cell r="W151">
            <v>150000</v>
          </cell>
          <cell r="X151">
            <v>400000</v>
          </cell>
          <cell r="Y151">
            <v>0</v>
          </cell>
          <cell r="Z151">
            <v>6560000</v>
          </cell>
          <cell r="AA151">
            <v>6317037.0370370364</v>
          </cell>
          <cell r="AB151">
            <v>0</v>
          </cell>
          <cell r="AC151">
            <v>0</v>
          </cell>
          <cell r="AD151">
            <v>6317037.0370370364</v>
          </cell>
          <cell r="AF151">
            <v>350000</v>
          </cell>
          <cell r="AH151">
            <v>2058527.5934426233</v>
          </cell>
          <cell r="AI151">
            <v>553125</v>
          </cell>
          <cell r="AJ151">
            <v>0</v>
          </cell>
          <cell r="AK151">
            <v>0</v>
          </cell>
          <cell r="AL151">
            <v>0</v>
          </cell>
          <cell r="AN151">
            <v>0</v>
          </cell>
          <cell r="AP151">
            <v>0</v>
          </cell>
          <cell r="AQ151">
            <v>9278690</v>
          </cell>
          <cell r="AR151">
            <v>9278690</v>
          </cell>
          <cell r="AS151">
            <v>557550</v>
          </cell>
          <cell r="AT151">
            <v>1141650</v>
          </cell>
          <cell r="AU151">
            <v>26550</v>
          </cell>
          <cell r="AV151">
            <v>106200</v>
          </cell>
          <cell r="AW151">
            <v>15500000</v>
          </cell>
          <cell r="AX151">
            <v>7875565</v>
          </cell>
          <cell r="AY151">
            <v>0</v>
          </cell>
          <cell r="AZ151">
            <v>0</v>
          </cell>
          <cell r="BC151">
            <v>584100</v>
          </cell>
          <cell r="BE151">
            <v>8694590</v>
          </cell>
          <cell r="BF151">
            <v>8694590</v>
          </cell>
          <cell r="BG151" t="str">
            <v>CK</v>
          </cell>
          <cell r="BH151">
            <v>8846968608</v>
          </cell>
          <cell r="BI151" t="str">
            <v>BIDV</v>
          </cell>
        </row>
        <row r="152">
          <cell r="K152">
            <v>135</v>
          </cell>
          <cell r="L152">
            <v>130</v>
          </cell>
          <cell r="M152">
            <v>0</v>
          </cell>
          <cell r="N152">
            <v>95.5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130</v>
          </cell>
          <cell r="U152">
            <v>27100000</v>
          </cell>
          <cell r="V152">
            <v>3500000</v>
          </cell>
          <cell r="W152">
            <v>2000000</v>
          </cell>
          <cell r="X152">
            <v>2900000</v>
          </cell>
          <cell r="Y152">
            <v>400000</v>
          </cell>
          <cell r="Z152">
            <v>35900000</v>
          </cell>
          <cell r="AA152">
            <v>34570370.370370366</v>
          </cell>
          <cell r="AB152">
            <v>0</v>
          </cell>
          <cell r="AC152">
            <v>0</v>
          </cell>
          <cell r="AD152">
            <v>34570370.370370366</v>
          </cell>
          <cell r="AE152">
            <v>0</v>
          </cell>
          <cell r="AF152">
            <v>1750000</v>
          </cell>
          <cell r="AG152">
            <v>0</v>
          </cell>
          <cell r="AH152">
            <v>13182365</v>
          </cell>
          <cell r="AI152">
            <v>3597951.388888889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53100687</v>
          </cell>
          <cell r="AR152">
            <v>53100687</v>
          </cell>
          <cell r="AS152">
            <v>2845500</v>
          </cell>
          <cell r="AT152">
            <v>5826500</v>
          </cell>
          <cell r="AU152">
            <v>135500</v>
          </cell>
          <cell r="AV152">
            <v>542000</v>
          </cell>
          <cell r="AW152">
            <v>77500000</v>
          </cell>
          <cell r="AX152">
            <v>43602736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2981000</v>
          </cell>
          <cell r="BD152">
            <v>0</v>
          </cell>
          <cell r="BE152">
            <v>50119687</v>
          </cell>
          <cell r="BF152">
            <v>50119687</v>
          </cell>
        </row>
        <row r="153">
          <cell r="C153" t="str">
            <v>VB00454</v>
          </cell>
          <cell r="D153" t="str">
            <v>PHẠM NGỌC THI</v>
          </cell>
          <cell r="E153" t="str">
            <v>CHT</v>
          </cell>
          <cell r="F153" t="str">
            <v>Trung cấp</v>
          </cell>
          <cell r="G153">
            <v>45538</v>
          </cell>
          <cell r="H153">
            <v>45599</v>
          </cell>
          <cell r="I153">
            <v>1</v>
          </cell>
          <cell r="J153" t="str">
            <v>Chính thức</v>
          </cell>
          <cell r="K153">
            <v>27</v>
          </cell>
          <cell r="L153">
            <v>26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26</v>
          </cell>
          <cell r="U153">
            <v>5860000</v>
          </cell>
          <cell r="V153">
            <v>700000</v>
          </cell>
          <cell r="W153">
            <v>800000</v>
          </cell>
          <cell r="X153">
            <v>0</v>
          </cell>
          <cell r="Y153">
            <v>400000</v>
          </cell>
          <cell r="Z153">
            <v>7760000</v>
          </cell>
          <cell r="AA153">
            <v>7472592.5925925933</v>
          </cell>
          <cell r="AB153">
            <v>0</v>
          </cell>
          <cell r="AC153">
            <v>0</v>
          </cell>
          <cell r="AD153">
            <v>7472592.5925925933</v>
          </cell>
          <cell r="AF153">
            <v>350000</v>
          </cell>
          <cell r="AH153">
            <v>1781470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N153">
            <v>0</v>
          </cell>
          <cell r="AP153">
            <v>0</v>
          </cell>
          <cell r="AQ153">
            <v>9604063</v>
          </cell>
          <cell r="AR153">
            <v>9604063</v>
          </cell>
          <cell r="AS153">
            <v>615300</v>
          </cell>
          <cell r="AT153">
            <v>1259900</v>
          </cell>
          <cell r="AU153">
            <v>29300</v>
          </cell>
          <cell r="AV153">
            <v>117200</v>
          </cell>
          <cell r="AW153">
            <v>15500000</v>
          </cell>
          <cell r="AX153">
            <v>7704063</v>
          </cell>
          <cell r="AY153">
            <v>0</v>
          </cell>
          <cell r="AZ153">
            <v>0</v>
          </cell>
          <cell r="BC153">
            <v>644600</v>
          </cell>
          <cell r="BE153">
            <v>8959463</v>
          </cell>
          <cell r="BF153">
            <v>8959463</v>
          </cell>
          <cell r="BG153" t="str">
            <v>CK</v>
          </cell>
          <cell r="BH153">
            <v>8833350846</v>
          </cell>
          <cell r="BI153" t="str">
            <v>BIDV</v>
          </cell>
        </row>
        <row r="154">
          <cell r="C154" t="str">
            <v>VB00455</v>
          </cell>
          <cell r="D154" t="str">
            <v>NGUYỄN THỊ KIM HOA</v>
          </cell>
          <cell r="E154" t="str">
            <v>NVBH</v>
          </cell>
          <cell r="F154" t="str">
            <v>Trung cấp</v>
          </cell>
          <cell r="G154">
            <v>45538</v>
          </cell>
          <cell r="H154">
            <v>45599</v>
          </cell>
          <cell r="I154">
            <v>1</v>
          </cell>
          <cell r="J154" t="str">
            <v>Chính thức</v>
          </cell>
          <cell r="K154">
            <v>27</v>
          </cell>
          <cell r="L154">
            <v>26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26</v>
          </cell>
          <cell r="U154">
            <v>5310000</v>
          </cell>
          <cell r="V154">
            <v>700000</v>
          </cell>
          <cell r="W154">
            <v>200000</v>
          </cell>
          <cell r="X154">
            <v>0</v>
          </cell>
          <cell r="Y154">
            <v>0</v>
          </cell>
          <cell r="Z154">
            <v>6210000</v>
          </cell>
          <cell r="AA154">
            <v>5980000</v>
          </cell>
          <cell r="AB154">
            <v>0</v>
          </cell>
          <cell r="AC154">
            <v>0</v>
          </cell>
          <cell r="AD154">
            <v>5980000</v>
          </cell>
          <cell r="AF154">
            <v>350000</v>
          </cell>
          <cell r="AH154">
            <v>1113927.5294117648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0</v>
          </cell>
          <cell r="AP154">
            <v>0</v>
          </cell>
          <cell r="AQ154">
            <v>7443928</v>
          </cell>
          <cell r="AR154">
            <v>7443928</v>
          </cell>
          <cell r="AS154">
            <v>557550</v>
          </cell>
          <cell r="AT154">
            <v>1141650</v>
          </cell>
          <cell r="AU154">
            <v>26550</v>
          </cell>
          <cell r="AV154">
            <v>106200</v>
          </cell>
          <cell r="AW154">
            <v>15500000</v>
          </cell>
          <cell r="AX154">
            <v>6543928</v>
          </cell>
          <cell r="AY154">
            <v>0</v>
          </cell>
          <cell r="AZ154">
            <v>0</v>
          </cell>
          <cell r="BC154">
            <v>584100</v>
          </cell>
          <cell r="BE154">
            <v>6859828</v>
          </cell>
          <cell r="BF154">
            <v>6859828</v>
          </cell>
          <cell r="BG154" t="str">
            <v>CK</v>
          </cell>
          <cell r="BH154">
            <v>8893350962</v>
          </cell>
          <cell r="BI154" t="str">
            <v>BIDV</v>
          </cell>
        </row>
        <row r="155">
          <cell r="C155" t="str">
            <v>VB00605</v>
          </cell>
          <cell r="D155" t="str">
            <v>NGUYỄN THỊ KIM THU</v>
          </cell>
          <cell r="E155" t="str">
            <v>NVBH</v>
          </cell>
          <cell r="F155" t="str">
            <v>Trung cấp</v>
          </cell>
          <cell r="G155">
            <v>45899</v>
          </cell>
          <cell r="H155">
            <v>45960</v>
          </cell>
          <cell r="I155">
            <v>0</v>
          </cell>
          <cell r="J155" t="str">
            <v>Chính thức</v>
          </cell>
          <cell r="K155">
            <v>27</v>
          </cell>
          <cell r="L155">
            <v>26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26</v>
          </cell>
          <cell r="U155">
            <v>5310000</v>
          </cell>
          <cell r="V155">
            <v>700000</v>
          </cell>
          <cell r="W155">
            <v>200000</v>
          </cell>
          <cell r="X155">
            <v>0</v>
          </cell>
          <cell r="Y155">
            <v>0</v>
          </cell>
          <cell r="Z155">
            <v>6210000</v>
          </cell>
          <cell r="AA155">
            <v>5980000</v>
          </cell>
          <cell r="AB155">
            <v>0</v>
          </cell>
          <cell r="AC155">
            <v>0</v>
          </cell>
          <cell r="AD155">
            <v>5980000</v>
          </cell>
          <cell r="AF155">
            <v>350000</v>
          </cell>
          <cell r="AH155">
            <v>1495274.1176470588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N155">
            <v>0</v>
          </cell>
          <cell r="AP155">
            <v>0</v>
          </cell>
          <cell r="AQ155">
            <v>7825274</v>
          </cell>
          <cell r="AR155">
            <v>7825274</v>
          </cell>
          <cell r="AS155">
            <v>557550</v>
          </cell>
          <cell r="AT155">
            <v>1141650</v>
          </cell>
          <cell r="AU155">
            <v>26550</v>
          </cell>
          <cell r="AV155">
            <v>106200</v>
          </cell>
          <cell r="AW155">
            <v>15500000</v>
          </cell>
          <cell r="AX155">
            <v>6925274</v>
          </cell>
          <cell r="AY155">
            <v>0</v>
          </cell>
          <cell r="AZ155">
            <v>0</v>
          </cell>
          <cell r="BC155">
            <v>584100</v>
          </cell>
          <cell r="BE155">
            <v>7241174</v>
          </cell>
          <cell r="BF155">
            <v>7241174</v>
          </cell>
          <cell r="BG155" t="str">
            <v>CK</v>
          </cell>
          <cell r="BH155">
            <v>8836277157</v>
          </cell>
          <cell r="BI155" t="str">
            <v>BIDV</v>
          </cell>
        </row>
        <row r="156">
          <cell r="C156" t="str">
            <v>VB00705</v>
          </cell>
          <cell r="D156" t="str">
            <v>MAI THỊ NIN NA</v>
          </cell>
          <cell r="E156" t="str">
            <v>NVBH</v>
          </cell>
          <cell r="F156" t="str">
            <v>Sơ cấp</v>
          </cell>
          <cell r="G156">
            <v>46184</v>
          </cell>
          <cell r="H156">
            <v>46245</v>
          </cell>
          <cell r="I156">
            <v>0</v>
          </cell>
          <cell r="J156" t="str">
            <v>Thử việc</v>
          </cell>
          <cell r="K156">
            <v>27</v>
          </cell>
          <cell r="L156">
            <v>0</v>
          </cell>
          <cell r="M156">
            <v>18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18</v>
          </cell>
          <cell r="U156">
            <v>5310000</v>
          </cell>
          <cell r="V156">
            <v>700000</v>
          </cell>
          <cell r="W156">
            <v>100000</v>
          </cell>
          <cell r="X156">
            <v>0</v>
          </cell>
          <cell r="Y156">
            <v>0</v>
          </cell>
          <cell r="Z156">
            <v>6110000</v>
          </cell>
          <cell r="AA156">
            <v>0</v>
          </cell>
          <cell r="AB156">
            <v>3462333.3333333335</v>
          </cell>
          <cell r="AD156">
            <v>3462333.3333333335</v>
          </cell>
          <cell r="AF156">
            <v>242307.69230769231</v>
          </cell>
          <cell r="AH156">
            <v>264746.1176470588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0</v>
          </cell>
          <cell r="AP156">
            <v>0</v>
          </cell>
          <cell r="AQ156">
            <v>3969387</v>
          </cell>
          <cell r="AR156">
            <v>3969387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15500000</v>
          </cell>
          <cell r="AX156">
            <v>3969387</v>
          </cell>
          <cell r="AY156">
            <v>0</v>
          </cell>
          <cell r="AZ156">
            <v>0</v>
          </cell>
          <cell r="BB156">
            <v>700000</v>
          </cell>
          <cell r="BC156">
            <v>700000</v>
          </cell>
          <cell r="BE156">
            <v>3269387</v>
          </cell>
          <cell r="BF156">
            <v>3269387</v>
          </cell>
          <cell r="BG156" t="str">
            <v>CK</v>
          </cell>
          <cell r="BH156">
            <v>8887368491</v>
          </cell>
          <cell r="BI156" t="str">
            <v>BIDV</v>
          </cell>
        </row>
        <row r="157">
          <cell r="L157">
            <v>78</v>
          </cell>
          <cell r="M157">
            <v>18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96</v>
          </cell>
          <cell r="U157">
            <v>21790000</v>
          </cell>
          <cell r="V157">
            <v>2800000</v>
          </cell>
          <cell r="W157">
            <v>1300000</v>
          </cell>
          <cell r="X157">
            <v>0</v>
          </cell>
          <cell r="Y157">
            <v>400000</v>
          </cell>
          <cell r="Z157">
            <v>26290000</v>
          </cell>
          <cell r="AA157">
            <v>19432592.592592593</v>
          </cell>
          <cell r="AB157">
            <v>3462333.3333333335</v>
          </cell>
          <cell r="AC157">
            <v>0</v>
          </cell>
          <cell r="AD157">
            <v>22894925.925925925</v>
          </cell>
          <cell r="AE157">
            <v>0</v>
          </cell>
          <cell r="AF157">
            <v>1292307.6923076923</v>
          </cell>
          <cell r="AG157">
            <v>0</v>
          </cell>
          <cell r="AH157">
            <v>4655417.7647058833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P157">
            <v>0</v>
          </cell>
          <cell r="AQ157">
            <v>28842652</v>
          </cell>
          <cell r="AR157">
            <v>28842652</v>
          </cell>
          <cell r="AS157">
            <v>1730400</v>
          </cell>
          <cell r="AT157">
            <v>3543200</v>
          </cell>
          <cell r="AU157">
            <v>82400</v>
          </cell>
          <cell r="AV157">
            <v>329600</v>
          </cell>
          <cell r="AW157">
            <v>62000000</v>
          </cell>
          <cell r="AX157">
            <v>25142652</v>
          </cell>
          <cell r="AY157">
            <v>0</v>
          </cell>
          <cell r="AZ157">
            <v>0</v>
          </cell>
          <cell r="BA157">
            <v>0</v>
          </cell>
          <cell r="BB157">
            <v>700000</v>
          </cell>
          <cell r="BC157">
            <v>2512800</v>
          </cell>
          <cell r="BD157">
            <v>0</v>
          </cell>
          <cell r="BE157">
            <v>26329852</v>
          </cell>
          <cell r="BF157">
            <v>26329852</v>
          </cell>
        </row>
        <row r="158">
          <cell r="C158" t="str">
            <v>VB00218</v>
          </cell>
          <cell r="D158" t="str">
            <v>HUỲNH THỊ THÙY TRANG</v>
          </cell>
          <cell r="E158" t="str">
            <v>CHT</v>
          </cell>
          <cell r="F158" t="str">
            <v>Cao cấp</v>
          </cell>
          <cell r="G158">
            <v>44722</v>
          </cell>
          <cell r="H158">
            <v>44783</v>
          </cell>
          <cell r="I158">
            <v>4</v>
          </cell>
          <cell r="J158" t="str">
            <v>Chính thức</v>
          </cell>
          <cell r="K158">
            <v>27</v>
          </cell>
          <cell r="L158">
            <v>26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26</v>
          </cell>
          <cell r="U158">
            <v>5860000</v>
          </cell>
          <cell r="V158">
            <v>700000</v>
          </cell>
          <cell r="W158">
            <v>1500000</v>
          </cell>
          <cell r="X158">
            <v>800000</v>
          </cell>
          <cell r="Y158">
            <v>400000</v>
          </cell>
          <cell r="Z158">
            <v>9260000</v>
          </cell>
          <cell r="AA158">
            <v>8917037.0370370373</v>
          </cell>
          <cell r="AB158">
            <v>0</v>
          </cell>
          <cell r="AC158">
            <v>0</v>
          </cell>
          <cell r="AD158">
            <v>8917037.0370370373</v>
          </cell>
          <cell r="AF158">
            <v>350000</v>
          </cell>
          <cell r="AH158">
            <v>4288872.1428571427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>
            <v>0</v>
          </cell>
          <cell r="AP158">
            <v>0</v>
          </cell>
          <cell r="AQ158">
            <v>13555909</v>
          </cell>
          <cell r="AR158">
            <v>13555909</v>
          </cell>
          <cell r="AS158">
            <v>615300</v>
          </cell>
          <cell r="AT158">
            <v>1259900</v>
          </cell>
          <cell r="AU158">
            <v>29300</v>
          </cell>
          <cell r="AV158">
            <v>117200</v>
          </cell>
          <cell r="AW158">
            <v>15500000</v>
          </cell>
          <cell r="AX158">
            <v>10955909</v>
          </cell>
          <cell r="AY158">
            <v>0</v>
          </cell>
          <cell r="AZ158">
            <v>0</v>
          </cell>
          <cell r="BC158">
            <v>644600</v>
          </cell>
          <cell r="BE158">
            <v>12911309</v>
          </cell>
          <cell r="BF158">
            <v>12911309</v>
          </cell>
          <cell r="BG158" t="str">
            <v>CK</v>
          </cell>
          <cell r="BH158" t="str">
            <v>5511380385</v>
          </cell>
          <cell r="BI158" t="str">
            <v>Ngân hàng TMCP Đầu tư và Phát triển  Việt Nam (BIDV) - CN Thừa Thiên Huế</v>
          </cell>
        </row>
        <row r="159">
          <cell r="C159" t="str">
            <v>VB00363</v>
          </cell>
          <cell r="D159" t="str">
            <v>TRẦN THỊ TỐ UYÊN</v>
          </cell>
          <cell r="E159" t="str">
            <v>NVBH</v>
          </cell>
          <cell r="F159" t="str">
            <v>Trung cấp</v>
          </cell>
          <cell r="G159">
            <v>45261</v>
          </cell>
          <cell r="H159">
            <v>45323</v>
          </cell>
          <cell r="I159">
            <v>2</v>
          </cell>
          <cell r="J159" t="str">
            <v>Chính thức</v>
          </cell>
          <cell r="K159">
            <v>27</v>
          </cell>
          <cell r="L159">
            <v>26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26</v>
          </cell>
          <cell r="U159">
            <v>5310000</v>
          </cell>
          <cell r="V159">
            <v>700000</v>
          </cell>
          <cell r="X159">
            <v>500000</v>
          </cell>
          <cell r="Y159">
            <v>400000</v>
          </cell>
          <cell r="Z159">
            <v>6910000</v>
          </cell>
          <cell r="AA159">
            <v>6654074.0740740737</v>
          </cell>
          <cell r="AB159">
            <v>0</v>
          </cell>
          <cell r="AC159">
            <v>0</v>
          </cell>
          <cell r="AD159">
            <v>6654074.0740740737</v>
          </cell>
          <cell r="AF159">
            <v>350000</v>
          </cell>
          <cell r="AH159">
            <v>2000549.5714285714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N159">
            <v>0</v>
          </cell>
          <cell r="AP159">
            <v>0</v>
          </cell>
          <cell r="AQ159">
            <v>9004624</v>
          </cell>
          <cell r="AR159">
            <v>9004624</v>
          </cell>
          <cell r="AS159">
            <v>557550</v>
          </cell>
          <cell r="AT159">
            <v>1141650</v>
          </cell>
          <cell r="AU159">
            <v>26550</v>
          </cell>
          <cell r="AV159">
            <v>106200</v>
          </cell>
          <cell r="AW159">
            <v>15500000</v>
          </cell>
          <cell r="AX159">
            <v>7904624</v>
          </cell>
          <cell r="AY159">
            <v>0</v>
          </cell>
          <cell r="AZ159">
            <v>0</v>
          </cell>
          <cell r="BC159">
            <v>584100</v>
          </cell>
          <cell r="BE159">
            <v>8420524</v>
          </cell>
          <cell r="BF159">
            <v>8420524</v>
          </cell>
          <cell r="BG159" t="str">
            <v>CK</v>
          </cell>
          <cell r="BH159">
            <v>8871103947</v>
          </cell>
          <cell r="BI159" t="str">
            <v>Ngân hàng TMCP Đầu tư và Phát triển  Việt Nam (BIDV) - CN Thừa Thiên Huế</v>
          </cell>
        </row>
        <row r="160">
          <cell r="C160" t="str">
            <v>VB00364</v>
          </cell>
          <cell r="D160" t="str">
            <v>TRẦN VĂN HUY</v>
          </cell>
          <cell r="E160" t="str">
            <v>NVBH</v>
          </cell>
          <cell r="F160" t="str">
            <v>Trung cấp</v>
          </cell>
          <cell r="G160">
            <v>45261</v>
          </cell>
          <cell r="H160">
            <v>45323</v>
          </cell>
          <cell r="I160">
            <v>2</v>
          </cell>
          <cell r="J160" t="str">
            <v>Chính thức</v>
          </cell>
          <cell r="K160">
            <v>27</v>
          </cell>
          <cell r="L160">
            <v>26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26</v>
          </cell>
          <cell r="U160">
            <v>5310000</v>
          </cell>
          <cell r="V160">
            <v>700000</v>
          </cell>
          <cell r="X160">
            <v>500000</v>
          </cell>
          <cell r="Y160">
            <v>400000</v>
          </cell>
          <cell r="Z160">
            <v>6910000</v>
          </cell>
          <cell r="AA160">
            <v>6654074.0740740737</v>
          </cell>
          <cell r="AB160">
            <v>0</v>
          </cell>
          <cell r="AC160">
            <v>0</v>
          </cell>
          <cell r="AD160">
            <v>6654074.0740740737</v>
          </cell>
          <cell r="AF160">
            <v>350000</v>
          </cell>
          <cell r="AH160">
            <v>2029884.4285714286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N160">
            <v>0</v>
          </cell>
          <cell r="AP160">
            <v>0</v>
          </cell>
          <cell r="AQ160">
            <v>9033959</v>
          </cell>
          <cell r="AR160">
            <v>9033959</v>
          </cell>
          <cell r="AS160">
            <v>557550</v>
          </cell>
          <cell r="AT160">
            <v>1141650</v>
          </cell>
          <cell r="AU160">
            <v>26550</v>
          </cell>
          <cell r="AV160">
            <v>106200</v>
          </cell>
          <cell r="AW160">
            <v>15500000</v>
          </cell>
          <cell r="AX160">
            <v>7933959</v>
          </cell>
          <cell r="AY160">
            <v>0</v>
          </cell>
          <cell r="AZ160">
            <v>0</v>
          </cell>
          <cell r="BC160">
            <v>584100</v>
          </cell>
          <cell r="BE160">
            <v>8449859</v>
          </cell>
          <cell r="BF160">
            <v>8449859</v>
          </cell>
          <cell r="BG160" t="str">
            <v>CK</v>
          </cell>
          <cell r="BH160">
            <v>8891203972</v>
          </cell>
          <cell r="BI160" t="str">
            <v>Ngân hàng TMCP Đầu tư và Phát triển  Việt Nam (BIDV) - CN Thừa Thiên Huế</v>
          </cell>
        </row>
        <row r="161">
          <cell r="C161" t="str">
            <v>VB00520</v>
          </cell>
          <cell r="D161" t="str">
            <v>HỒ THỊ PHƯỢNG HỒNG</v>
          </cell>
          <cell r="E161" t="str">
            <v>NVBH</v>
          </cell>
          <cell r="F161" t="str">
            <v>Sơ cấp</v>
          </cell>
          <cell r="G161">
            <v>45696</v>
          </cell>
          <cell r="H161">
            <v>45757</v>
          </cell>
          <cell r="I161">
            <v>1</v>
          </cell>
          <cell r="J161" t="str">
            <v>Chính thức</v>
          </cell>
          <cell r="K161">
            <v>27</v>
          </cell>
          <cell r="L161">
            <v>26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26</v>
          </cell>
          <cell r="U161">
            <v>5310000</v>
          </cell>
          <cell r="V161">
            <v>700000</v>
          </cell>
          <cell r="W161">
            <v>150000</v>
          </cell>
          <cell r="X161">
            <v>500000</v>
          </cell>
          <cell r="Z161">
            <v>6660000</v>
          </cell>
          <cell r="AA161">
            <v>6413333.333333333</v>
          </cell>
          <cell r="AB161">
            <v>0</v>
          </cell>
          <cell r="AC161">
            <v>0</v>
          </cell>
          <cell r="AD161">
            <v>6413333.333333333</v>
          </cell>
          <cell r="AF161">
            <v>350000</v>
          </cell>
          <cell r="AH161">
            <v>1608773.7857142857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N161">
            <v>0</v>
          </cell>
          <cell r="AP161">
            <v>0</v>
          </cell>
          <cell r="AQ161">
            <v>8372107</v>
          </cell>
          <cell r="AR161">
            <v>8372107</v>
          </cell>
          <cell r="AS161">
            <v>557550</v>
          </cell>
          <cell r="AT161">
            <v>1141650</v>
          </cell>
          <cell r="AU161">
            <v>26550</v>
          </cell>
          <cell r="AV161">
            <v>106200</v>
          </cell>
          <cell r="AW161">
            <v>15500000</v>
          </cell>
          <cell r="AX161">
            <v>7522107</v>
          </cell>
          <cell r="AY161">
            <v>0</v>
          </cell>
          <cell r="AZ161">
            <v>0</v>
          </cell>
          <cell r="BC161">
            <v>584100</v>
          </cell>
          <cell r="BE161">
            <v>7788007</v>
          </cell>
          <cell r="BF161">
            <v>7788007</v>
          </cell>
          <cell r="BH161">
            <v>8854629372</v>
          </cell>
          <cell r="BI161" t="str">
            <v>BIDV</v>
          </cell>
          <cell r="BJ161">
            <v>46260</v>
          </cell>
        </row>
        <row r="162">
          <cell r="C162" t="str">
            <v>VB00544</v>
          </cell>
          <cell r="D162" t="str">
            <v>LÊ PHƯƠNG THẢO TIÊN</v>
          </cell>
          <cell r="E162" t="str">
            <v>NVBH</v>
          </cell>
          <cell r="F162" t="str">
            <v>Sơ cấp</v>
          </cell>
          <cell r="G162">
            <v>45721</v>
          </cell>
          <cell r="H162">
            <v>45782</v>
          </cell>
          <cell r="I162">
            <v>1</v>
          </cell>
          <cell r="J162" t="str">
            <v>Chính thức</v>
          </cell>
          <cell r="K162">
            <v>27</v>
          </cell>
          <cell r="L162">
            <v>26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26</v>
          </cell>
          <cell r="U162">
            <v>5310000</v>
          </cell>
          <cell r="V162">
            <v>700000</v>
          </cell>
          <cell r="W162">
            <v>150000</v>
          </cell>
          <cell r="X162">
            <v>500000</v>
          </cell>
          <cell r="Z162">
            <v>6660000</v>
          </cell>
          <cell r="AA162">
            <v>6413333.333333333</v>
          </cell>
          <cell r="AB162">
            <v>0</v>
          </cell>
          <cell r="AC162">
            <v>0</v>
          </cell>
          <cell r="AD162">
            <v>6413333.333333333</v>
          </cell>
          <cell r="AF162">
            <v>350000</v>
          </cell>
          <cell r="AH162">
            <v>1929424.5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N162">
            <v>0</v>
          </cell>
          <cell r="AP162">
            <v>0</v>
          </cell>
          <cell r="AQ162">
            <v>8692758</v>
          </cell>
          <cell r="AR162">
            <v>8692758</v>
          </cell>
          <cell r="AS162">
            <v>557550</v>
          </cell>
          <cell r="AT162">
            <v>1141650</v>
          </cell>
          <cell r="AU162">
            <v>26550</v>
          </cell>
          <cell r="AV162">
            <v>106200</v>
          </cell>
          <cell r="AW162">
            <v>15500000</v>
          </cell>
          <cell r="AX162">
            <v>7842758</v>
          </cell>
          <cell r="AY162">
            <v>0</v>
          </cell>
          <cell r="AZ162">
            <v>0</v>
          </cell>
          <cell r="BC162">
            <v>584100</v>
          </cell>
          <cell r="BE162">
            <v>8108658</v>
          </cell>
          <cell r="BF162">
            <v>8108658</v>
          </cell>
          <cell r="BH162">
            <v>8884962597</v>
          </cell>
          <cell r="BI162" t="str">
            <v>BIDV</v>
          </cell>
        </row>
        <row r="163">
          <cell r="L163">
            <v>130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130</v>
          </cell>
          <cell r="U163">
            <v>27100000</v>
          </cell>
          <cell r="V163">
            <v>3500000</v>
          </cell>
          <cell r="W163">
            <v>1800000</v>
          </cell>
          <cell r="X163">
            <v>2800000</v>
          </cell>
          <cell r="Y163">
            <v>1200000</v>
          </cell>
          <cell r="Z163">
            <v>36400000</v>
          </cell>
          <cell r="AA163">
            <v>35051851.851851851</v>
          </cell>
          <cell r="AB163">
            <v>0</v>
          </cell>
          <cell r="AC163">
            <v>0</v>
          </cell>
          <cell r="AD163">
            <v>35051851.851851851</v>
          </cell>
          <cell r="AE163">
            <v>0</v>
          </cell>
          <cell r="AF163">
            <v>1750000</v>
          </cell>
          <cell r="AG163">
            <v>0</v>
          </cell>
          <cell r="AH163">
            <v>11857504.428571429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P163">
            <v>0</v>
          </cell>
          <cell r="AQ163">
            <v>48659357</v>
          </cell>
          <cell r="AR163">
            <v>48659357</v>
          </cell>
          <cell r="AS163">
            <v>2845500</v>
          </cell>
          <cell r="AT163">
            <v>5826500</v>
          </cell>
          <cell r="AU163">
            <v>135500</v>
          </cell>
          <cell r="AV163">
            <v>542000</v>
          </cell>
          <cell r="AW163">
            <v>77500000</v>
          </cell>
          <cell r="AX163">
            <v>42159357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2981000</v>
          </cell>
          <cell r="BD163">
            <v>0</v>
          </cell>
          <cell r="BE163">
            <v>45678357</v>
          </cell>
          <cell r="BF163">
            <v>45678357</v>
          </cell>
        </row>
        <row r="164">
          <cell r="C164" t="str">
            <v>VB00383</v>
          </cell>
          <cell r="D164" t="str">
            <v>PHẠM THỊ DUNG</v>
          </cell>
          <cell r="E164" t="str">
            <v>CHT</v>
          </cell>
          <cell r="F164" t="str">
            <v>Sơ cấp</v>
          </cell>
          <cell r="G164">
            <v>45352</v>
          </cell>
          <cell r="H164">
            <v>45413</v>
          </cell>
          <cell r="I164">
            <v>2</v>
          </cell>
          <cell r="J164" t="str">
            <v>Chính thức</v>
          </cell>
          <cell r="K164">
            <v>27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5860000</v>
          </cell>
          <cell r="V164">
            <v>700000</v>
          </cell>
          <cell r="W164">
            <v>950000</v>
          </cell>
          <cell r="X164">
            <v>1100000</v>
          </cell>
          <cell r="Y164">
            <v>400000</v>
          </cell>
          <cell r="Z164">
            <v>9010000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N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27900000</v>
          </cell>
          <cell r="AX164">
            <v>-2050000</v>
          </cell>
          <cell r="AY164">
            <v>0</v>
          </cell>
          <cell r="AZ164">
            <v>0</v>
          </cell>
          <cell r="BC164">
            <v>0</v>
          </cell>
          <cell r="BE164">
            <v>0</v>
          </cell>
          <cell r="BF164">
            <v>0</v>
          </cell>
          <cell r="BG164" t="str">
            <v>CK</v>
          </cell>
          <cell r="BH164">
            <v>8811633971</v>
          </cell>
          <cell r="BI164" t="str">
            <v>BIDV</v>
          </cell>
        </row>
        <row r="165">
          <cell r="C165" t="str">
            <v>VB00408</v>
          </cell>
          <cell r="D165" t="str">
            <v>ĐỖ THỊ NGỌC DIỆP</v>
          </cell>
          <cell r="E165" t="str">
            <v>NVBH</v>
          </cell>
          <cell r="F165" t="str">
            <v>Trung cấp</v>
          </cell>
          <cell r="G165">
            <v>45434</v>
          </cell>
          <cell r="H165">
            <v>45495</v>
          </cell>
          <cell r="I165">
            <v>2</v>
          </cell>
          <cell r="J165" t="str">
            <v>Chính thức</v>
          </cell>
          <cell r="K165">
            <v>27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5310000</v>
          </cell>
          <cell r="V165">
            <v>700000</v>
          </cell>
          <cell r="W165">
            <v>150000</v>
          </cell>
          <cell r="X165">
            <v>400000</v>
          </cell>
          <cell r="Y165">
            <v>0</v>
          </cell>
          <cell r="Z165">
            <v>6560000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N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15500000</v>
          </cell>
          <cell r="AX165">
            <v>-850000</v>
          </cell>
          <cell r="AY165">
            <v>0</v>
          </cell>
          <cell r="AZ165">
            <v>0</v>
          </cell>
          <cell r="BC165">
            <v>0</v>
          </cell>
          <cell r="BE165">
            <v>0</v>
          </cell>
          <cell r="BF165">
            <v>0</v>
          </cell>
          <cell r="BG165" t="str">
            <v>CK</v>
          </cell>
          <cell r="BH165">
            <v>8812135461</v>
          </cell>
          <cell r="BI165" t="str">
            <v>BIDV</v>
          </cell>
        </row>
        <row r="166">
          <cell r="C166" t="str">
            <v>VB00701</v>
          </cell>
          <cell r="D166" t="str">
            <v>NGUYỄN CHÍ NAM</v>
          </cell>
          <cell r="E166" t="str">
            <v>NVBH</v>
          </cell>
          <cell r="F166" t="str">
            <v>Sơ cấp</v>
          </cell>
          <cell r="G166">
            <v>46172</v>
          </cell>
          <cell r="H166">
            <v>46233</v>
          </cell>
          <cell r="I166">
            <v>0</v>
          </cell>
          <cell r="J166" t="str">
            <v>Thử việc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5310000</v>
          </cell>
          <cell r="V166">
            <v>700000</v>
          </cell>
          <cell r="W166">
            <v>170000</v>
          </cell>
          <cell r="X166">
            <v>0</v>
          </cell>
          <cell r="Y166">
            <v>0</v>
          </cell>
          <cell r="Z166">
            <v>6180000</v>
          </cell>
          <cell r="AA166">
            <v>0</v>
          </cell>
          <cell r="AB166">
            <v>0</v>
          </cell>
          <cell r="AD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N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15500000</v>
          </cell>
          <cell r="AX166">
            <v>0</v>
          </cell>
          <cell r="AY166">
            <v>0</v>
          </cell>
          <cell r="AZ166" t="str">
            <v xml:space="preserve"> </v>
          </cell>
          <cell r="BB166">
            <v>700000</v>
          </cell>
          <cell r="BC166" t="e">
            <v>#VALUE!</v>
          </cell>
          <cell r="BE166" t="e">
            <v>#VALUE!</v>
          </cell>
          <cell r="BF166" t="e">
            <v>#VALUE!</v>
          </cell>
          <cell r="BG166" t="str">
            <v>CK</v>
          </cell>
          <cell r="BH166">
            <v>8869097133</v>
          </cell>
          <cell r="BI166" t="str">
            <v>BIDV</v>
          </cell>
        </row>
        <row r="167">
          <cell r="C167" t="str">
            <v>VB00710</v>
          </cell>
          <cell r="D167" t="str">
            <v>HỨA XUÂN PHƯƠNG</v>
          </cell>
          <cell r="E167" t="str">
            <v>NVBH</v>
          </cell>
          <cell r="F167" t="str">
            <v>Sơ cấp</v>
          </cell>
          <cell r="G167">
            <v>46204</v>
          </cell>
          <cell r="H167">
            <v>46265</v>
          </cell>
          <cell r="I167">
            <v>0</v>
          </cell>
          <cell r="J167" t="str">
            <v>Thử việc</v>
          </cell>
          <cell r="K167">
            <v>27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5310000</v>
          </cell>
          <cell r="V167">
            <v>700000</v>
          </cell>
          <cell r="W167">
            <v>170000</v>
          </cell>
          <cell r="X167">
            <v>0</v>
          </cell>
          <cell r="Y167">
            <v>0</v>
          </cell>
          <cell r="Z167">
            <v>6180000</v>
          </cell>
          <cell r="AA167">
            <v>0</v>
          </cell>
          <cell r="AB167">
            <v>0</v>
          </cell>
          <cell r="AD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15500000</v>
          </cell>
          <cell r="AX167">
            <v>0</v>
          </cell>
          <cell r="AY167">
            <v>0</v>
          </cell>
          <cell r="AZ167">
            <v>0</v>
          </cell>
          <cell r="BB167">
            <v>700000</v>
          </cell>
          <cell r="BC167">
            <v>700000</v>
          </cell>
          <cell r="BE167">
            <v>-700000</v>
          </cell>
          <cell r="BF167">
            <v>-700000</v>
          </cell>
          <cell r="BG167" t="str">
            <v>CK</v>
          </cell>
          <cell r="BH167">
            <v>8879574413</v>
          </cell>
          <cell r="BI167" t="str">
            <v>BIDV</v>
          </cell>
        </row>
        <row r="168"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21790000</v>
          </cell>
          <cell r="V168">
            <v>2800000</v>
          </cell>
          <cell r="W168">
            <v>1440000</v>
          </cell>
          <cell r="X168">
            <v>1500000</v>
          </cell>
          <cell r="Y168">
            <v>400000</v>
          </cell>
          <cell r="Z168">
            <v>27930000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74400000</v>
          </cell>
          <cell r="AX168">
            <v>-2900000</v>
          </cell>
          <cell r="AY168">
            <v>0</v>
          </cell>
          <cell r="AZ168">
            <v>0</v>
          </cell>
          <cell r="BA168">
            <v>0</v>
          </cell>
          <cell r="BB168">
            <v>1400000</v>
          </cell>
          <cell r="BC168" t="e">
            <v>#VALUE!</v>
          </cell>
          <cell r="BD168">
            <v>0</v>
          </cell>
          <cell r="BE168" t="e">
            <v>#VALUE!</v>
          </cell>
          <cell r="BF168" t="e">
            <v>#VALUE!</v>
          </cell>
        </row>
        <row r="169">
          <cell r="C169" t="str">
            <v>VB00313</v>
          </cell>
          <cell r="D169" t="str">
            <v>PHÙNG THỊ TUYẾT MAI</v>
          </cell>
          <cell r="E169" t="str">
            <v>CHT</v>
          </cell>
          <cell r="F169" t="str">
            <v>Cao cấp</v>
          </cell>
          <cell r="G169">
            <v>45076</v>
          </cell>
          <cell r="H169">
            <v>45137</v>
          </cell>
          <cell r="I169">
            <v>3</v>
          </cell>
          <cell r="J169" t="str">
            <v>Chính thức</v>
          </cell>
          <cell r="K169">
            <v>27</v>
          </cell>
          <cell r="L169">
            <v>26</v>
          </cell>
          <cell r="M169">
            <v>0</v>
          </cell>
          <cell r="N169">
            <v>7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26</v>
          </cell>
          <cell r="U169">
            <v>5860000</v>
          </cell>
          <cell r="V169">
            <v>700000</v>
          </cell>
          <cell r="W169">
            <v>1000000</v>
          </cell>
          <cell r="X169">
            <v>1100000</v>
          </cell>
          <cell r="Y169">
            <v>400000</v>
          </cell>
          <cell r="Z169">
            <v>9060000</v>
          </cell>
          <cell r="AA169">
            <v>8724444.444444444</v>
          </cell>
          <cell r="AB169">
            <v>0</v>
          </cell>
          <cell r="AC169">
            <v>0</v>
          </cell>
          <cell r="AD169">
            <v>8724444.444444444</v>
          </cell>
          <cell r="AF169">
            <v>350000</v>
          </cell>
          <cell r="AH169">
            <v>4726773.8164893622</v>
          </cell>
          <cell r="AI169">
            <v>284861.11111111112</v>
          </cell>
          <cell r="AJ169">
            <v>0</v>
          </cell>
          <cell r="AK169">
            <v>0</v>
          </cell>
          <cell r="AL169">
            <v>0</v>
          </cell>
          <cell r="AN169">
            <v>1000000</v>
          </cell>
          <cell r="AP169">
            <v>0</v>
          </cell>
          <cell r="AQ169">
            <v>15086079</v>
          </cell>
          <cell r="AR169">
            <v>15086079</v>
          </cell>
          <cell r="AS169">
            <v>615300</v>
          </cell>
          <cell r="AT169">
            <v>1259900</v>
          </cell>
          <cell r="AU169">
            <v>29300</v>
          </cell>
          <cell r="AV169">
            <v>117200</v>
          </cell>
          <cell r="AW169">
            <v>15500000</v>
          </cell>
          <cell r="AX169">
            <v>12701218</v>
          </cell>
          <cell r="AY169">
            <v>0</v>
          </cell>
          <cell r="AZ169">
            <v>0</v>
          </cell>
          <cell r="BC169">
            <v>644600</v>
          </cell>
          <cell r="BE169">
            <v>14441479</v>
          </cell>
          <cell r="BF169">
            <v>13441479</v>
          </cell>
          <cell r="BG169" t="str">
            <v>CK</v>
          </cell>
          <cell r="BH169" t="str">
            <v>3144561010</v>
          </cell>
          <cell r="BI169" t="str">
            <v>BIDV</v>
          </cell>
        </row>
        <row r="170">
          <cell r="C170" t="str">
            <v>VB00482</v>
          </cell>
          <cell r="D170" t="str">
            <v>PHẠM MINH HIẾU</v>
          </cell>
          <cell r="E170" t="str">
            <v>NVBH</v>
          </cell>
          <cell r="F170" t="str">
            <v>Trung cấp</v>
          </cell>
          <cell r="G170">
            <v>45611</v>
          </cell>
          <cell r="H170">
            <v>45672</v>
          </cell>
          <cell r="I170">
            <v>1</v>
          </cell>
          <cell r="J170" t="str">
            <v>Chính thức</v>
          </cell>
          <cell r="K170">
            <v>27</v>
          </cell>
          <cell r="L170">
            <v>26</v>
          </cell>
          <cell r="M170">
            <v>0</v>
          </cell>
          <cell r="N170">
            <v>3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26</v>
          </cell>
          <cell r="U170">
            <v>5310000</v>
          </cell>
          <cell r="V170">
            <v>700000</v>
          </cell>
          <cell r="W170">
            <v>150000</v>
          </cell>
          <cell r="X170">
            <v>400000</v>
          </cell>
          <cell r="Y170">
            <v>0</v>
          </cell>
          <cell r="Z170">
            <v>6560000</v>
          </cell>
          <cell r="AA170">
            <v>6317037.0370370364</v>
          </cell>
          <cell r="AB170">
            <v>0</v>
          </cell>
          <cell r="AC170">
            <v>0</v>
          </cell>
          <cell r="AD170">
            <v>6317037.0370370364</v>
          </cell>
          <cell r="AF170">
            <v>350000</v>
          </cell>
          <cell r="AH170">
            <v>2732675.4300761451</v>
          </cell>
          <cell r="AI170">
            <v>110625</v>
          </cell>
          <cell r="AJ170">
            <v>0</v>
          </cell>
          <cell r="AK170">
            <v>0</v>
          </cell>
          <cell r="AL170">
            <v>0</v>
          </cell>
          <cell r="AN170">
            <v>1000000</v>
          </cell>
          <cell r="AP170">
            <v>0</v>
          </cell>
          <cell r="AQ170">
            <v>10510337</v>
          </cell>
          <cell r="AR170">
            <v>10510337</v>
          </cell>
          <cell r="AS170">
            <v>557550</v>
          </cell>
          <cell r="AT170">
            <v>1141650</v>
          </cell>
          <cell r="AU170">
            <v>26550</v>
          </cell>
          <cell r="AV170">
            <v>106200</v>
          </cell>
          <cell r="AW170">
            <v>15500000</v>
          </cell>
          <cell r="AX170">
            <v>9549712</v>
          </cell>
          <cell r="AY170">
            <v>0</v>
          </cell>
          <cell r="AZ170">
            <v>0</v>
          </cell>
          <cell r="BC170">
            <v>584100</v>
          </cell>
          <cell r="BE170">
            <v>9926237</v>
          </cell>
          <cell r="BF170">
            <v>8926237</v>
          </cell>
          <cell r="BG170" t="str">
            <v>CK</v>
          </cell>
          <cell r="BH170">
            <v>8834188223</v>
          </cell>
          <cell r="BI170" t="str">
            <v>BIDV</v>
          </cell>
        </row>
        <row r="171">
          <cell r="C171" t="str">
            <v>VB00524</v>
          </cell>
          <cell r="D171" t="str">
            <v>PHẠM THỊ NGỌC TÚ</v>
          </cell>
          <cell r="E171" t="str">
            <v>NVBH</v>
          </cell>
          <cell r="F171" t="str">
            <v>Trung cấp</v>
          </cell>
          <cell r="G171">
            <v>45703</v>
          </cell>
          <cell r="H171">
            <v>45764</v>
          </cell>
          <cell r="I171">
            <v>1</v>
          </cell>
          <cell r="J171" t="str">
            <v>Chính thức</v>
          </cell>
          <cell r="K171">
            <v>27</v>
          </cell>
          <cell r="L171">
            <v>26</v>
          </cell>
          <cell r="M171">
            <v>0</v>
          </cell>
          <cell r="N171">
            <v>2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26</v>
          </cell>
          <cell r="U171">
            <v>5310000</v>
          </cell>
          <cell r="V171">
            <v>700000</v>
          </cell>
          <cell r="W171">
            <v>150000</v>
          </cell>
          <cell r="X171">
            <v>400000</v>
          </cell>
          <cell r="Y171">
            <v>0</v>
          </cell>
          <cell r="Z171">
            <v>6560000</v>
          </cell>
          <cell r="AA171">
            <v>6317037.0370370364</v>
          </cell>
          <cell r="AB171">
            <v>0</v>
          </cell>
          <cell r="AC171">
            <v>0</v>
          </cell>
          <cell r="AD171">
            <v>6317037.0370370364</v>
          </cell>
          <cell r="AF171">
            <v>350000</v>
          </cell>
          <cell r="AH171">
            <v>2557683.430358788</v>
          </cell>
          <cell r="AI171">
            <v>73750</v>
          </cell>
          <cell r="AJ171">
            <v>0</v>
          </cell>
          <cell r="AK171">
            <v>0</v>
          </cell>
          <cell r="AL171">
            <v>0</v>
          </cell>
          <cell r="AN171">
            <v>1000000</v>
          </cell>
          <cell r="AP171">
            <v>0</v>
          </cell>
          <cell r="AQ171">
            <v>10298470</v>
          </cell>
          <cell r="AR171">
            <v>10298470</v>
          </cell>
          <cell r="AS171">
            <v>557550</v>
          </cell>
          <cell r="AT171">
            <v>1141650</v>
          </cell>
          <cell r="AU171">
            <v>26550</v>
          </cell>
          <cell r="AV171">
            <v>106200</v>
          </cell>
          <cell r="AW171">
            <v>15500000</v>
          </cell>
          <cell r="AX171">
            <v>9374720</v>
          </cell>
          <cell r="AY171">
            <v>0</v>
          </cell>
          <cell r="AZ171">
            <v>0</v>
          </cell>
          <cell r="BC171">
            <v>584100</v>
          </cell>
          <cell r="BE171">
            <v>9714370</v>
          </cell>
          <cell r="BF171">
            <v>8714370</v>
          </cell>
          <cell r="BG171" t="str">
            <v>CK</v>
          </cell>
          <cell r="BH171">
            <v>8834818288</v>
          </cell>
          <cell r="BI171" t="str">
            <v>BIDV</v>
          </cell>
        </row>
        <row r="172">
          <cell r="C172" t="str">
            <v>VB00612</v>
          </cell>
          <cell r="D172" t="str">
            <v>VÕ HOÀNG KHÃ MI</v>
          </cell>
          <cell r="E172" t="str">
            <v>NVBH</v>
          </cell>
          <cell r="F172" t="str">
            <v>Trung cấp</v>
          </cell>
          <cell r="G172">
            <v>45918</v>
          </cell>
          <cell r="H172">
            <v>45979</v>
          </cell>
          <cell r="I172">
            <v>0</v>
          </cell>
          <cell r="J172" t="str">
            <v>Chính thức</v>
          </cell>
          <cell r="K172">
            <v>27</v>
          </cell>
          <cell r="L172">
            <v>23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23</v>
          </cell>
          <cell r="U172">
            <v>5310000</v>
          </cell>
          <cell r="V172">
            <v>700000</v>
          </cell>
          <cell r="W172">
            <v>150000</v>
          </cell>
          <cell r="X172">
            <v>400000</v>
          </cell>
          <cell r="Y172">
            <v>0</v>
          </cell>
          <cell r="Z172">
            <v>6560000</v>
          </cell>
          <cell r="AA172">
            <v>5588148.1481481474</v>
          </cell>
          <cell r="AB172">
            <v>0</v>
          </cell>
          <cell r="AC172">
            <v>0</v>
          </cell>
          <cell r="AD172">
            <v>5588148.1481481474</v>
          </cell>
          <cell r="AF172">
            <v>0</v>
          </cell>
          <cell r="AH172">
            <v>3051006.6980757071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1000000</v>
          </cell>
          <cell r="AP172">
            <v>0</v>
          </cell>
          <cell r="AQ172">
            <v>9639155</v>
          </cell>
          <cell r="AR172">
            <v>9639155</v>
          </cell>
          <cell r="AS172">
            <v>557550</v>
          </cell>
          <cell r="AT172">
            <v>1141650</v>
          </cell>
          <cell r="AU172">
            <v>26550</v>
          </cell>
          <cell r="AV172">
            <v>106200</v>
          </cell>
          <cell r="AW172">
            <v>15500000</v>
          </cell>
          <cell r="AX172">
            <v>8789155</v>
          </cell>
          <cell r="AY172">
            <v>0</v>
          </cell>
          <cell r="AZ172">
            <v>0</v>
          </cell>
          <cell r="BC172">
            <v>584100</v>
          </cell>
          <cell r="BE172">
            <v>9055055</v>
          </cell>
          <cell r="BF172">
            <v>8055055</v>
          </cell>
          <cell r="BG172" t="str">
            <v>ck</v>
          </cell>
          <cell r="BH172">
            <v>8826495893</v>
          </cell>
          <cell r="BI172" t="str">
            <v>BIDV</v>
          </cell>
        </row>
        <row r="173">
          <cell r="L173">
            <v>101</v>
          </cell>
          <cell r="M173">
            <v>0</v>
          </cell>
          <cell r="N173">
            <v>12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101</v>
          </cell>
          <cell r="U173">
            <v>21790000</v>
          </cell>
          <cell r="V173">
            <v>2800000</v>
          </cell>
          <cell r="W173">
            <v>1450000</v>
          </cell>
          <cell r="X173">
            <v>2300000</v>
          </cell>
          <cell r="Y173">
            <v>400000</v>
          </cell>
          <cell r="Z173">
            <v>28740000</v>
          </cell>
          <cell r="AA173">
            <v>26946666.666666664</v>
          </cell>
          <cell r="AB173">
            <v>0</v>
          </cell>
          <cell r="AC173">
            <v>0</v>
          </cell>
          <cell r="AD173">
            <v>26946666.666666664</v>
          </cell>
          <cell r="AE173">
            <v>0</v>
          </cell>
          <cell r="AF173">
            <v>1050000</v>
          </cell>
          <cell r="AG173">
            <v>0</v>
          </cell>
          <cell r="AH173">
            <v>13068139.375000004</v>
          </cell>
          <cell r="AI173">
            <v>469236.11111111112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P173">
            <v>0</v>
          </cell>
          <cell r="AQ173">
            <v>45534041</v>
          </cell>
          <cell r="AR173">
            <v>45534041</v>
          </cell>
          <cell r="AS173">
            <v>2287950</v>
          </cell>
          <cell r="AT173">
            <v>4684850</v>
          </cell>
          <cell r="AU173">
            <v>108950</v>
          </cell>
          <cell r="AV173">
            <v>435800</v>
          </cell>
          <cell r="AW173">
            <v>62000000</v>
          </cell>
          <cell r="AX173">
            <v>40414805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2396900</v>
          </cell>
          <cell r="BD173">
            <v>0</v>
          </cell>
          <cell r="BE173">
            <v>43137141</v>
          </cell>
          <cell r="BF173">
            <v>43137141</v>
          </cell>
          <cell r="BG173">
            <v>0</v>
          </cell>
        </row>
        <row r="174">
          <cell r="C174" t="str">
            <v>VB00494</v>
          </cell>
          <cell r="D174" t="str">
            <v>TRẦN MỸ LINH</v>
          </cell>
          <cell r="E174" t="str">
            <v>CHT</v>
          </cell>
          <cell r="F174" t="str">
            <v>Cao cấp</v>
          </cell>
          <cell r="G174">
            <v>45650</v>
          </cell>
          <cell r="H174">
            <v>45712</v>
          </cell>
          <cell r="I174">
            <v>1</v>
          </cell>
          <cell r="J174" t="str">
            <v>Chính thức</v>
          </cell>
          <cell r="K174">
            <v>27</v>
          </cell>
          <cell r="L174">
            <v>26</v>
          </cell>
          <cell r="M174">
            <v>0</v>
          </cell>
          <cell r="N174">
            <v>14.5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26</v>
          </cell>
          <cell r="U174">
            <v>5860000</v>
          </cell>
          <cell r="V174">
            <v>700000</v>
          </cell>
          <cell r="W174">
            <v>2000000</v>
          </cell>
          <cell r="X174">
            <v>1100000</v>
          </cell>
          <cell r="Y174">
            <v>400000</v>
          </cell>
          <cell r="Z174">
            <v>10060000</v>
          </cell>
          <cell r="AA174">
            <v>9687407.4074074067</v>
          </cell>
          <cell r="AB174">
            <v>0</v>
          </cell>
          <cell r="AC174">
            <v>0</v>
          </cell>
          <cell r="AD174">
            <v>9687407.4074074067</v>
          </cell>
          <cell r="AF174">
            <v>350000</v>
          </cell>
          <cell r="AH174">
            <v>4733541.5189873418</v>
          </cell>
          <cell r="AI174">
            <v>590069.4444444445</v>
          </cell>
          <cell r="AJ174">
            <v>0</v>
          </cell>
          <cell r="AK174">
            <v>0</v>
          </cell>
          <cell r="AL174">
            <v>0</v>
          </cell>
          <cell r="AN174">
            <v>0</v>
          </cell>
          <cell r="AP174">
            <v>0</v>
          </cell>
          <cell r="AQ174">
            <v>15361018</v>
          </cell>
          <cell r="AR174">
            <v>15361018</v>
          </cell>
          <cell r="AS174">
            <v>615300</v>
          </cell>
          <cell r="AT174">
            <v>1259900</v>
          </cell>
          <cell r="AU174">
            <v>29300</v>
          </cell>
          <cell r="AV174">
            <v>117200</v>
          </cell>
          <cell r="AW174">
            <v>15500000</v>
          </cell>
          <cell r="AX174">
            <v>11670949</v>
          </cell>
          <cell r="AY174">
            <v>0</v>
          </cell>
          <cell r="AZ174">
            <v>0</v>
          </cell>
          <cell r="BC174">
            <v>644600</v>
          </cell>
          <cell r="BE174">
            <v>14716418</v>
          </cell>
          <cell r="BF174">
            <v>14716418</v>
          </cell>
          <cell r="BG174" t="str">
            <v>CK</v>
          </cell>
          <cell r="BH174">
            <v>8874403344</v>
          </cell>
          <cell r="BI174" t="str">
            <v>BIDV</v>
          </cell>
        </row>
        <row r="175">
          <cell r="C175" t="str">
            <v>VB00441</v>
          </cell>
          <cell r="D175" t="str">
            <v>VÕ THỊ THÚY HẰNG</v>
          </cell>
          <cell r="E175" t="str">
            <v>TL CHT</v>
          </cell>
          <cell r="G175">
            <v>45514</v>
          </cell>
          <cell r="H175">
            <v>45575</v>
          </cell>
          <cell r="I175">
            <v>1</v>
          </cell>
          <cell r="J175" t="str">
            <v>Chính thức</v>
          </cell>
          <cell r="K175">
            <v>27</v>
          </cell>
          <cell r="L175">
            <v>26</v>
          </cell>
          <cell r="M175">
            <v>0</v>
          </cell>
          <cell r="N175">
            <v>31.5</v>
          </cell>
          <cell r="O175">
            <v>8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26</v>
          </cell>
          <cell r="U175">
            <v>5310000</v>
          </cell>
          <cell r="V175">
            <v>700000</v>
          </cell>
          <cell r="W175">
            <v>1500000</v>
          </cell>
          <cell r="X175">
            <v>1100000</v>
          </cell>
          <cell r="Y175">
            <v>400000</v>
          </cell>
          <cell r="Z175">
            <v>9010000</v>
          </cell>
          <cell r="AA175">
            <v>8676296.2962962966</v>
          </cell>
          <cell r="AB175">
            <v>0</v>
          </cell>
          <cell r="AC175">
            <v>0</v>
          </cell>
          <cell r="AD175">
            <v>8676296.2962962966</v>
          </cell>
          <cell r="AF175">
            <v>350000</v>
          </cell>
          <cell r="AH175">
            <v>3076801.9873417723</v>
          </cell>
          <cell r="AI175">
            <v>1161562.5</v>
          </cell>
          <cell r="AJ175">
            <v>393333.33333333331</v>
          </cell>
          <cell r="AK175">
            <v>0</v>
          </cell>
          <cell r="AL175">
            <v>0</v>
          </cell>
          <cell r="AN175">
            <v>0</v>
          </cell>
          <cell r="AP175">
            <v>0</v>
          </cell>
          <cell r="AQ175">
            <v>13657994</v>
          </cell>
          <cell r="AR175">
            <v>13657994</v>
          </cell>
          <cell r="AS175">
            <v>557550</v>
          </cell>
          <cell r="AT175">
            <v>1141650</v>
          </cell>
          <cell r="AU175">
            <v>26550</v>
          </cell>
          <cell r="AV175">
            <v>106200</v>
          </cell>
          <cell r="AW175">
            <v>15500000</v>
          </cell>
          <cell r="AX175">
            <v>9503098</v>
          </cell>
          <cell r="AY175">
            <v>0</v>
          </cell>
          <cell r="AZ175">
            <v>0</v>
          </cell>
          <cell r="BC175">
            <v>584100</v>
          </cell>
          <cell r="BE175">
            <v>13073894</v>
          </cell>
          <cell r="BF175">
            <v>13073894</v>
          </cell>
          <cell r="BG175" t="str">
            <v>CK</v>
          </cell>
          <cell r="BH175">
            <v>8803292965</v>
          </cell>
          <cell r="BI175" t="str">
            <v>BIDV</v>
          </cell>
        </row>
        <row r="176">
          <cell r="C176" t="str">
            <v>VB00511</v>
          </cell>
          <cell r="D176" t="str">
            <v>PHAN DUY KHÁNH</v>
          </cell>
          <cell r="E176" t="str">
            <v>NVBH</v>
          </cell>
          <cell r="F176" t="str">
            <v>Cao cấp</v>
          </cell>
          <cell r="G176">
            <v>45667</v>
          </cell>
          <cell r="H176">
            <v>45728</v>
          </cell>
          <cell r="I176">
            <v>1</v>
          </cell>
          <cell r="J176" t="str">
            <v>Chính thức</v>
          </cell>
          <cell r="K176">
            <v>27</v>
          </cell>
          <cell r="L176">
            <v>26</v>
          </cell>
          <cell r="M176">
            <v>0</v>
          </cell>
          <cell r="N176">
            <v>32</v>
          </cell>
          <cell r="O176">
            <v>8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26</v>
          </cell>
          <cell r="U176">
            <v>5310000</v>
          </cell>
          <cell r="V176">
            <v>700000</v>
          </cell>
          <cell r="W176">
            <v>1000000</v>
          </cell>
          <cell r="X176">
            <v>750000</v>
          </cell>
          <cell r="Y176">
            <v>400000</v>
          </cell>
          <cell r="Z176">
            <v>8160000</v>
          </cell>
          <cell r="AA176">
            <v>7857777.777777778</v>
          </cell>
          <cell r="AB176">
            <v>0</v>
          </cell>
          <cell r="AC176">
            <v>0</v>
          </cell>
          <cell r="AD176">
            <v>7857777.777777778</v>
          </cell>
          <cell r="AF176">
            <v>350000</v>
          </cell>
          <cell r="AH176">
            <v>2429568.6075949366</v>
          </cell>
          <cell r="AI176">
            <v>1180000</v>
          </cell>
          <cell r="AJ176">
            <v>393333.33333333331</v>
          </cell>
          <cell r="AK176">
            <v>0</v>
          </cell>
          <cell r="AL176">
            <v>0</v>
          </cell>
          <cell r="AN176">
            <v>0</v>
          </cell>
          <cell r="AP176">
            <v>0</v>
          </cell>
          <cell r="AQ176">
            <v>12210680</v>
          </cell>
          <cell r="AR176">
            <v>12210680</v>
          </cell>
          <cell r="AS176">
            <v>557550</v>
          </cell>
          <cell r="AT176">
            <v>1141650</v>
          </cell>
          <cell r="AU176">
            <v>26550</v>
          </cell>
          <cell r="AV176">
            <v>106200</v>
          </cell>
          <cell r="AW176">
            <v>15500000</v>
          </cell>
          <cell r="AX176">
            <v>8537347</v>
          </cell>
          <cell r="AY176">
            <v>0</v>
          </cell>
          <cell r="AZ176">
            <v>0</v>
          </cell>
          <cell r="BC176">
            <v>584100</v>
          </cell>
          <cell r="BE176">
            <v>11626580</v>
          </cell>
          <cell r="BF176">
            <v>11626580</v>
          </cell>
          <cell r="BG176" t="str">
            <v>CK</v>
          </cell>
          <cell r="BH176">
            <v>4550943669</v>
          </cell>
          <cell r="BI176" t="str">
            <v>BIDV</v>
          </cell>
        </row>
        <row r="177">
          <cell r="C177" t="str">
            <v>VB00516</v>
          </cell>
          <cell r="D177" t="str">
            <v>ĐÀM THỊ KIM YẾN</v>
          </cell>
          <cell r="E177" t="str">
            <v>NVBH</v>
          </cell>
          <cell r="F177" t="str">
            <v>Cao cấp</v>
          </cell>
          <cell r="G177">
            <v>45680</v>
          </cell>
          <cell r="H177">
            <v>45741</v>
          </cell>
          <cell r="I177">
            <v>1</v>
          </cell>
          <cell r="J177" t="str">
            <v>Chính thức</v>
          </cell>
          <cell r="K177">
            <v>27</v>
          </cell>
          <cell r="L177">
            <v>26</v>
          </cell>
          <cell r="M177">
            <v>0</v>
          </cell>
          <cell r="N177">
            <v>40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26</v>
          </cell>
          <cell r="U177">
            <v>5310000</v>
          </cell>
          <cell r="V177">
            <v>700000</v>
          </cell>
          <cell r="W177">
            <v>1000000</v>
          </cell>
          <cell r="X177">
            <v>750000</v>
          </cell>
          <cell r="Y177">
            <v>400000</v>
          </cell>
          <cell r="Z177">
            <v>8160000</v>
          </cell>
          <cell r="AA177">
            <v>7857777.777777778</v>
          </cell>
          <cell r="AB177">
            <v>0</v>
          </cell>
          <cell r="AC177">
            <v>0</v>
          </cell>
          <cell r="AD177">
            <v>7857777.777777778</v>
          </cell>
          <cell r="AF177">
            <v>350000</v>
          </cell>
          <cell r="AH177">
            <v>2560587.6708860761</v>
          </cell>
          <cell r="AI177">
            <v>1475000</v>
          </cell>
          <cell r="AJ177">
            <v>0</v>
          </cell>
          <cell r="AK177">
            <v>0</v>
          </cell>
          <cell r="AL177">
            <v>0</v>
          </cell>
          <cell r="AN177">
            <v>0</v>
          </cell>
          <cell r="AP177">
            <v>0</v>
          </cell>
          <cell r="AQ177">
            <v>12243365</v>
          </cell>
          <cell r="AR177">
            <v>12243365</v>
          </cell>
          <cell r="AS177">
            <v>557550</v>
          </cell>
          <cell r="AT177">
            <v>1141650</v>
          </cell>
          <cell r="AU177">
            <v>26550</v>
          </cell>
          <cell r="AV177">
            <v>106200</v>
          </cell>
          <cell r="AW177">
            <v>15500000</v>
          </cell>
          <cell r="AX177">
            <v>8668365</v>
          </cell>
          <cell r="AY177">
            <v>0</v>
          </cell>
          <cell r="AZ177">
            <v>0</v>
          </cell>
          <cell r="BC177">
            <v>584100</v>
          </cell>
          <cell r="BE177">
            <v>11659265</v>
          </cell>
          <cell r="BF177">
            <v>11659265</v>
          </cell>
          <cell r="BG177" t="str">
            <v>CK</v>
          </cell>
          <cell r="BH177">
            <v>8864534339</v>
          </cell>
          <cell r="BI177" t="str">
            <v>BIDV</v>
          </cell>
        </row>
        <row r="178">
          <cell r="C178" t="str">
            <v>VB00580</v>
          </cell>
          <cell r="D178" t="str">
            <v>NGUYỄN DƯƠNG THÚY VY</v>
          </cell>
          <cell r="E178" t="str">
            <v>NVBH</v>
          </cell>
          <cell r="F178" t="str">
            <v>Cao cấp</v>
          </cell>
          <cell r="G178">
            <v>45792</v>
          </cell>
          <cell r="H178">
            <v>45853</v>
          </cell>
          <cell r="I178">
            <v>1</v>
          </cell>
          <cell r="J178" t="str">
            <v>Chính thức</v>
          </cell>
          <cell r="K178">
            <v>27</v>
          </cell>
          <cell r="L178">
            <v>26</v>
          </cell>
          <cell r="M178">
            <v>0</v>
          </cell>
          <cell r="N178">
            <v>19.5</v>
          </cell>
          <cell r="O178">
            <v>13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26</v>
          </cell>
          <cell r="U178">
            <v>5310000</v>
          </cell>
          <cell r="V178">
            <v>700000</v>
          </cell>
          <cell r="W178">
            <v>1000000</v>
          </cell>
          <cell r="X178">
            <v>750000</v>
          </cell>
          <cell r="Y178">
            <v>400000</v>
          </cell>
          <cell r="Z178">
            <v>8160000</v>
          </cell>
          <cell r="AA178">
            <v>7857777.777777778</v>
          </cell>
          <cell r="AB178">
            <v>0</v>
          </cell>
          <cell r="AC178">
            <v>0</v>
          </cell>
          <cell r="AD178">
            <v>7857777.777777778</v>
          </cell>
          <cell r="AF178">
            <v>350000</v>
          </cell>
          <cell r="AH178">
            <v>3137314.7088607596</v>
          </cell>
          <cell r="AI178">
            <v>719062.5</v>
          </cell>
          <cell r="AJ178">
            <v>639166.66666666663</v>
          </cell>
          <cell r="AK178">
            <v>0</v>
          </cell>
          <cell r="AL178">
            <v>0</v>
          </cell>
          <cell r="AN178">
            <v>0</v>
          </cell>
          <cell r="AP178">
            <v>0</v>
          </cell>
          <cell r="AQ178">
            <v>12703322</v>
          </cell>
          <cell r="AR178">
            <v>12703322</v>
          </cell>
          <cell r="AS178">
            <v>557550</v>
          </cell>
          <cell r="AT178">
            <v>1141650</v>
          </cell>
          <cell r="AU178">
            <v>26550</v>
          </cell>
          <cell r="AV178">
            <v>106200</v>
          </cell>
          <cell r="AW178">
            <v>15500000</v>
          </cell>
          <cell r="AX178">
            <v>9245093</v>
          </cell>
          <cell r="AY178">
            <v>0</v>
          </cell>
          <cell r="AZ178">
            <v>0</v>
          </cell>
          <cell r="BC178">
            <v>584100</v>
          </cell>
          <cell r="BE178">
            <v>12119222</v>
          </cell>
          <cell r="BF178">
            <v>12119222</v>
          </cell>
          <cell r="BG178" t="str">
            <v>CK</v>
          </cell>
          <cell r="BH178">
            <v>8895371155</v>
          </cell>
          <cell r="BI178" t="str">
            <v>BIDV</v>
          </cell>
        </row>
        <row r="179">
          <cell r="C179" t="str">
            <v>VB00610</v>
          </cell>
          <cell r="D179" t="str">
            <v>HUỲNH TUẤN ANH</v>
          </cell>
          <cell r="E179" t="str">
            <v>NVBH</v>
          </cell>
          <cell r="F179" t="str">
            <v>Trung cấp</v>
          </cell>
          <cell r="G179">
            <v>45909</v>
          </cell>
          <cell r="H179">
            <v>45970</v>
          </cell>
          <cell r="I179">
            <v>0</v>
          </cell>
          <cell r="J179" t="str">
            <v>Chính thức</v>
          </cell>
          <cell r="K179">
            <v>27</v>
          </cell>
          <cell r="L179">
            <v>26</v>
          </cell>
          <cell r="M179">
            <v>0</v>
          </cell>
          <cell r="N179">
            <v>22</v>
          </cell>
          <cell r="O179">
            <v>14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26</v>
          </cell>
          <cell r="U179">
            <v>5310000</v>
          </cell>
          <cell r="V179">
            <v>700000</v>
          </cell>
          <cell r="W179">
            <v>650000</v>
          </cell>
          <cell r="X179">
            <v>500000</v>
          </cell>
          <cell r="Y179">
            <v>400000</v>
          </cell>
          <cell r="Z179">
            <v>7560000</v>
          </cell>
          <cell r="AA179">
            <v>7280000</v>
          </cell>
          <cell r="AB179">
            <v>0</v>
          </cell>
          <cell r="AC179">
            <v>0</v>
          </cell>
          <cell r="AD179">
            <v>7280000</v>
          </cell>
          <cell r="AF179">
            <v>350000</v>
          </cell>
          <cell r="AH179">
            <v>2695828.2531645573</v>
          </cell>
          <cell r="AI179">
            <v>811249.99999999988</v>
          </cell>
          <cell r="AJ179">
            <v>688333.33333333326</v>
          </cell>
          <cell r="AK179">
            <v>0</v>
          </cell>
          <cell r="AL179">
            <v>0</v>
          </cell>
          <cell r="AN179">
            <v>0</v>
          </cell>
          <cell r="AP179">
            <v>0</v>
          </cell>
          <cell r="AQ179">
            <v>11825412</v>
          </cell>
          <cell r="AR179">
            <v>11825412</v>
          </cell>
          <cell r="AS179">
            <v>557550</v>
          </cell>
          <cell r="AT179">
            <v>1141650</v>
          </cell>
          <cell r="AU179">
            <v>26550</v>
          </cell>
          <cell r="AV179">
            <v>106200</v>
          </cell>
          <cell r="AW179">
            <v>15500000</v>
          </cell>
          <cell r="AX179">
            <v>8575829</v>
          </cell>
          <cell r="AY179">
            <v>0</v>
          </cell>
          <cell r="AZ179">
            <v>0</v>
          </cell>
          <cell r="BC179">
            <v>584100</v>
          </cell>
          <cell r="BE179">
            <v>11241312</v>
          </cell>
          <cell r="BF179">
            <v>11241312</v>
          </cell>
          <cell r="BH179">
            <v>8896589820</v>
          </cell>
          <cell r="BI179" t="str">
            <v>BIDV</v>
          </cell>
        </row>
        <row r="180">
          <cell r="L180">
            <v>156</v>
          </cell>
          <cell r="M180">
            <v>0</v>
          </cell>
          <cell r="N180">
            <v>159.5</v>
          </cell>
          <cell r="O180">
            <v>43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156</v>
          </cell>
          <cell r="U180">
            <v>32410000</v>
          </cell>
          <cell r="V180">
            <v>4200000</v>
          </cell>
          <cell r="W180">
            <v>7150000</v>
          </cell>
          <cell r="X180">
            <v>4950000</v>
          </cell>
          <cell r="Y180">
            <v>2400000</v>
          </cell>
          <cell r="Z180">
            <v>51110000</v>
          </cell>
          <cell r="AA180">
            <v>49217037.03703703</v>
          </cell>
          <cell r="AB180">
            <v>0</v>
          </cell>
          <cell r="AC180">
            <v>0</v>
          </cell>
          <cell r="AD180">
            <v>49217037.03703703</v>
          </cell>
          <cell r="AE180">
            <v>0</v>
          </cell>
          <cell r="AF180">
            <v>2100000</v>
          </cell>
          <cell r="AG180">
            <v>0</v>
          </cell>
          <cell r="AH180">
            <v>18633642.74683544</v>
          </cell>
          <cell r="AI180">
            <v>5936944.444444444</v>
          </cell>
          <cell r="AJ180">
            <v>2114166.6666666665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P180">
            <v>0</v>
          </cell>
          <cell r="AQ180">
            <v>78001791</v>
          </cell>
          <cell r="AR180">
            <v>78001791</v>
          </cell>
          <cell r="AS180">
            <v>3403050</v>
          </cell>
          <cell r="AT180">
            <v>6968150</v>
          </cell>
          <cell r="AU180">
            <v>162050</v>
          </cell>
          <cell r="AV180">
            <v>648200</v>
          </cell>
          <cell r="AW180">
            <v>93000000</v>
          </cell>
          <cell r="AX180">
            <v>56200681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3565100</v>
          </cell>
          <cell r="BD180">
            <v>0</v>
          </cell>
          <cell r="BE180">
            <v>74436691</v>
          </cell>
          <cell r="BF180">
            <v>74436691</v>
          </cell>
        </row>
        <row r="181">
          <cell r="C181" t="str">
            <v>VB00505</v>
          </cell>
          <cell r="D181" t="str">
            <v>LÊ THỊ HOÀI PHƯƠNG</v>
          </cell>
          <cell r="E181" t="str">
            <v>CHT</v>
          </cell>
          <cell r="F181" t="str">
            <v>Cao cấp</v>
          </cell>
          <cell r="G181">
            <v>45659</v>
          </cell>
          <cell r="H181">
            <v>45720</v>
          </cell>
          <cell r="I181">
            <v>1</v>
          </cell>
          <cell r="J181" t="str">
            <v>Chính thức</v>
          </cell>
          <cell r="K181">
            <v>27</v>
          </cell>
          <cell r="L181">
            <v>26</v>
          </cell>
          <cell r="M181">
            <v>0</v>
          </cell>
          <cell r="N181">
            <v>2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26</v>
          </cell>
          <cell r="U181">
            <v>5860000</v>
          </cell>
          <cell r="V181">
            <v>700000</v>
          </cell>
          <cell r="W181">
            <v>1000000</v>
          </cell>
          <cell r="X181">
            <v>300000</v>
          </cell>
          <cell r="Y181">
            <v>400000</v>
          </cell>
          <cell r="Z181">
            <v>8260000</v>
          </cell>
          <cell r="AA181">
            <v>7954074.0740740737</v>
          </cell>
          <cell r="AB181">
            <v>0</v>
          </cell>
          <cell r="AC181">
            <v>0</v>
          </cell>
          <cell r="AD181">
            <v>7954074.0740740737</v>
          </cell>
          <cell r="AF181">
            <v>350000</v>
          </cell>
          <cell r="AG181">
            <v>0</v>
          </cell>
          <cell r="AH181">
            <v>8288749.2498113196</v>
          </cell>
          <cell r="AI181">
            <v>81388.888888888891</v>
          </cell>
          <cell r="AJ181">
            <v>0</v>
          </cell>
          <cell r="AK181">
            <v>0</v>
          </cell>
          <cell r="AL181">
            <v>0</v>
          </cell>
          <cell r="AN181">
            <v>1000000</v>
          </cell>
          <cell r="AP181">
            <v>0</v>
          </cell>
          <cell r="AQ181">
            <v>17674212</v>
          </cell>
          <cell r="AR181">
            <v>17674212</v>
          </cell>
          <cell r="AS181">
            <v>615300</v>
          </cell>
          <cell r="AT181">
            <v>1259900</v>
          </cell>
          <cell r="AU181">
            <v>29300</v>
          </cell>
          <cell r="AV181">
            <v>117200</v>
          </cell>
          <cell r="AW181">
            <v>15500000</v>
          </cell>
          <cell r="AX181">
            <v>15492823</v>
          </cell>
          <cell r="AY181">
            <v>0</v>
          </cell>
          <cell r="AZ181">
            <v>0</v>
          </cell>
          <cell r="BC181">
            <v>644600</v>
          </cell>
          <cell r="BE181">
            <v>17029612</v>
          </cell>
          <cell r="BF181">
            <v>16029612</v>
          </cell>
          <cell r="BG181" t="str">
            <v>CK</v>
          </cell>
          <cell r="BH181">
            <v>8854416618</v>
          </cell>
          <cell r="BI181" t="str">
            <v>BIDV</v>
          </cell>
        </row>
        <row r="182">
          <cell r="C182" t="str">
            <v>VB00507</v>
          </cell>
          <cell r="D182" t="str">
            <v>PHẠM THỊ THÚY</v>
          </cell>
          <cell r="E182" t="str">
            <v>NVBH</v>
          </cell>
          <cell r="F182" t="str">
            <v>Trung cấp</v>
          </cell>
          <cell r="G182">
            <v>45662</v>
          </cell>
          <cell r="H182">
            <v>45723</v>
          </cell>
          <cell r="I182">
            <v>1</v>
          </cell>
          <cell r="J182" t="str">
            <v>Chính thức</v>
          </cell>
          <cell r="K182">
            <v>27</v>
          </cell>
          <cell r="L182">
            <v>26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26</v>
          </cell>
          <cell r="U182">
            <v>5310000</v>
          </cell>
          <cell r="V182">
            <v>700000</v>
          </cell>
          <cell r="W182">
            <v>200000</v>
          </cell>
          <cell r="X182">
            <v>0</v>
          </cell>
          <cell r="Y182">
            <v>0</v>
          </cell>
          <cell r="Z182">
            <v>6210000</v>
          </cell>
          <cell r="AA182">
            <v>5980000</v>
          </cell>
          <cell r="AB182">
            <v>0</v>
          </cell>
          <cell r="AC182">
            <v>0</v>
          </cell>
          <cell r="AD182">
            <v>5980000</v>
          </cell>
          <cell r="AF182">
            <v>350000</v>
          </cell>
          <cell r="AG182">
            <v>0</v>
          </cell>
          <cell r="AH182">
            <v>4502113.3721473776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N182">
            <v>1000000</v>
          </cell>
          <cell r="AP182">
            <v>0</v>
          </cell>
          <cell r="AQ182">
            <v>11832113</v>
          </cell>
          <cell r="AR182">
            <v>11832113</v>
          </cell>
          <cell r="AS182">
            <v>557550</v>
          </cell>
          <cell r="AT182">
            <v>1141650</v>
          </cell>
          <cell r="AU182">
            <v>26550</v>
          </cell>
          <cell r="AV182">
            <v>106200</v>
          </cell>
          <cell r="AW182">
            <v>15500000</v>
          </cell>
          <cell r="AX182">
            <v>10932113</v>
          </cell>
          <cell r="AY182">
            <v>0</v>
          </cell>
          <cell r="AZ182">
            <v>0</v>
          </cell>
          <cell r="BC182">
            <v>584100</v>
          </cell>
          <cell r="BE182">
            <v>11248013</v>
          </cell>
          <cell r="BF182">
            <v>10248013</v>
          </cell>
          <cell r="BG182" t="str">
            <v>CK</v>
          </cell>
          <cell r="BH182">
            <v>8801704689</v>
          </cell>
          <cell r="BI182" t="str">
            <v>BIDV</v>
          </cell>
        </row>
        <row r="183">
          <cell r="C183" t="str">
            <v>VB00543</v>
          </cell>
          <cell r="D183" t="str">
            <v>NGUYỄN THỊ YẾN VY</v>
          </cell>
          <cell r="E183" t="str">
            <v>NVBH</v>
          </cell>
          <cell r="F183" t="str">
            <v>Sơ cấp</v>
          </cell>
          <cell r="G183">
            <v>45717</v>
          </cell>
          <cell r="H183">
            <v>45778</v>
          </cell>
          <cell r="I183">
            <v>1</v>
          </cell>
          <cell r="J183" t="str">
            <v>Chính thức</v>
          </cell>
          <cell r="K183">
            <v>27</v>
          </cell>
          <cell r="L183">
            <v>26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26</v>
          </cell>
          <cell r="U183">
            <v>5310000</v>
          </cell>
          <cell r="V183">
            <v>700000</v>
          </cell>
          <cell r="W183">
            <v>100000</v>
          </cell>
          <cell r="X183">
            <v>0</v>
          </cell>
          <cell r="Y183">
            <v>0</v>
          </cell>
          <cell r="Z183">
            <v>6110000</v>
          </cell>
          <cell r="AA183">
            <v>5883703.7037037034</v>
          </cell>
          <cell r="AB183">
            <v>0</v>
          </cell>
          <cell r="AC183">
            <v>0</v>
          </cell>
          <cell r="AD183">
            <v>5883703.7037037034</v>
          </cell>
          <cell r="AF183">
            <v>350000</v>
          </cell>
          <cell r="AG183">
            <v>0</v>
          </cell>
          <cell r="AH183">
            <v>3914736.6829486801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N183">
            <v>1000000</v>
          </cell>
          <cell r="AP183">
            <v>0</v>
          </cell>
          <cell r="AQ183">
            <v>11148440</v>
          </cell>
          <cell r="AR183">
            <v>11148440</v>
          </cell>
          <cell r="AS183">
            <v>557550</v>
          </cell>
          <cell r="AT183">
            <v>1141650</v>
          </cell>
          <cell r="AU183">
            <v>26550</v>
          </cell>
          <cell r="AV183">
            <v>106200</v>
          </cell>
          <cell r="AW183">
            <v>15500000</v>
          </cell>
          <cell r="AX183">
            <v>10348440</v>
          </cell>
          <cell r="AY183">
            <v>0</v>
          </cell>
          <cell r="AZ183">
            <v>0</v>
          </cell>
          <cell r="BC183">
            <v>584100</v>
          </cell>
          <cell r="BE183">
            <v>10564340</v>
          </cell>
          <cell r="BF183">
            <v>9564340</v>
          </cell>
          <cell r="BG183" t="str">
            <v>CK</v>
          </cell>
          <cell r="BH183">
            <v>8824671318</v>
          </cell>
          <cell r="BI183" t="str">
            <v>BIDV</v>
          </cell>
        </row>
        <row r="184">
          <cell r="C184" t="str">
            <v>VB00551</v>
          </cell>
          <cell r="D184" t="str">
            <v>LÊ HOÀI CHUNG</v>
          </cell>
          <cell r="E184" t="str">
            <v>NVBH</v>
          </cell>
          <cell r="F184" t="str">
            <v>Trung cấp</v>
          </cell>
          <cell r="G184">
            <v>45737</v>
          </cell>
          <cell r="H184">
            <v>45798</v>
          </cell>
          <cell r="I184">
            <v>1</v>
          </cell>
          <cell r="J184" t="str">
            <v>Chính thức</v>
          </cell>
          <cell r="K184">
            <v>27</v>
          </cell>
          <cell r="L184">
            <v>26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26</v>
          </cell>
          <cell r="U184">
            <v>5310000</v>
          </cell>
          <cell r="V184">
            <v>700000</v>
          </cell>
          <cell r="W184">
            <v>200000</v>
          </cell>
          <cell r="X184">
            <v>0</v>
          </cell>
          <cell r="Y184">
            <v>0</v>
          </cell>
          <cell r="Z184">
            <v>6210000</v>
          </cell>
          <cell r="AA184">
            <v>5980000</v>
          </cell>
          <cell r="AB184">
            <v>0</v>
          </cell>
          <cell r="AC184">
            <v>0</v>
          </cell>
          <cell r="AD184">
            <v>5980000</v>
          </cell>
          <cell r="AF184">
            <v>350000</v>
          </cell>
          <cell r="AG184">
            <v>0</v>
          </cell>
          <cell r="AH184">
            <v>4379999.9980106568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>
            <v>1000000</v>
          </cell>
          <cell r="AP184">
            <v>0</v>
          </cell>
          <cell r="AQ184">
            <v>11710000</v>
          </cell>
          <cell r="AR184">
            <v>11710000</v>
          </cell>
          <cell r="AS184">
            <v>557550</v>
          </cell>
          <cell r="AT184">
            <v>1141650</v>
          </cell>
          <cell r="AU184">
            <v>26550</v>
          </cell>
          <cell r="AV184">
            <v>106200</v>
          </cell>
          <cell r="AW184">
            <v>15500000</v>
          </cell>
          <cell r="AX184">
            <v>10810000</v>
          </cell>
          <cell r="AY184">
            <v>0</v>
          </cell>
          <cell r="AZ184">
            <v>0</v>
          </cell>
          <cell r="BC184">
            <v>584100</v>
          </cell>
          <cell r="BE184">
            <v>11125900</v>
          </cell>
          <cell r="BF184">
            <v>10125900</v>
          </cell>
          <cell r="BG184" t="str">
            <v>CK</v>
          </cell>
          <cell r="BH184">
            <v>8854862902</v>
          </cell>
          <cell r="BI184" t="str">
            <v>BIDV</v>
          </cell>
        </row>
        <row r="185">
          <cell r="C185" t="str">
            <v>VB00661</v>
          </cell>
          <cell r="D185" t="str">
            <v>CAO XUÂN THÀNH</v>
          </cell>
          <cell r="E185" t="str">
            <v>NVBH</v>
          </cell>
          <cell r="F185" t="str">
            <v>Sơ cấp</v>
          </cell>
          <cell r="G185">
            <v>46082</v>
          </cell>
          <cell r="H185">
            <v>46143</v>
          </cell>
          <cell r="I185">
            <v>0</v>
          </cell>
          <cell r="J185" t="str">
            <v>Chính thức</v>
          </cell>
          <cell r="K185">
            <v>27</v>
          </cell>
          <cell r="L185">
            <v>26</v>
          </cell>
          <cell r="M185">
            <v>0</v>
          </cell>
          <cell r="N185">
            <v>2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26</v>
          </cell>
          <cell r="U185">
            <v>5310000</v>
          </cell>
          <cell r="V185">
            <v>700000</v>
          </cell>
          <cell r="W185">
            <v>100000</v>
          </cell>
          <cell r="X185">
            <v>0</v>
          </cell>
          <cell r="Y185">
            <v>0</v>
          </cell>
          <cell r="Z185">
            <v>6110000</v>
          </cell>
          <cell r="AA185">
            <v>5883703.7037037034</v>
          </cell>
          <cell r="AB185">
            <v>0</v>
          </cell>
          <cell r="AC185">
            <v>0</v>
          </cell>
          <cell r="AD185">
            <v>5883703.7037037034</v>
          </cell>
          <cell r="AF185">
            <v>350000</v>
          </cell>
          <cell r="AG185">
            <v>0</v>
          </cell>
          <cell r="AH185">
            <v>3751766.6622381038</v>
          </cell>
          <cell r="AI185">
            <v>73750</v>
          </cell>
          <cell r="AJ185">
            <v>0</v>
          </cell>
          <cell r="AK185">
            <v>0</v>
          </cell>
          <cell r="AL185">
            <v>0</v>
          </cell>
          <cell r="AN185">
            <v>1000000</v>
          </cell>
          <cell r="AP185">
            <v>0</v>
          </cell>
          <cell r="AQ185">
            <v>11059220</v>
          </cell>
          <cell r="AR185">
            <v>11059220</v>
          </cell>
          <cell r="AS185">
            <v>557550</v>
          </cell>
          <cell r="AT185">
            <v>1141650</v>
          </cell>
          <cell r="AU185">
            <v>26550</v>
          </cell>
          <cell r="AV185">
            <v>106200</v>
          </cell>
          <cell r="AW185">
            <v>15500000</v>
          </cell>
          <cell r="AX185">
            <v>10185470</v>
          </cell>
          <cell r="AY185">
            <v>0</v>
          </cell>
          <cell r="AZ185">
            <v>0</v>
          </cell>
          <cell r="BC185">
            <v>584100</v>
          </cell>
          <cell r="BE185">
            <v>10475120</v>
          </cell>
          <cell r="BF185">
            <v>9475120</v>
          </cell>
          <cell r="BG185" t="str">
            <v>CK</v>
          </cell>
          <cell r="BH185">
            <v>5601725760</v>
          </cell>
          <cell r="BI185" t="str">
            <v>BIDV</v>
          </cell>
        </row>
        <row r="186">
          <cell r="L186">
            <v>130</v>
          </cell>
          <cell r="M186">
            <v>0</v>
          </cell>
          <cell r="N186">
            <v>4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130</v>
          </cell>
          <cell r="U186">
            <v>27100000</v>
          </cell>
          <cell r="V186">
            <v>3500000</v>
          </cell>
          <cell r="W186">
            <v>1600000</v>
          </cell>
          <cell r="X186">
            <v>300000</v>
          </cell>
          <cell r="Y186">
            <v>400000</v>
          </cell>
          <cell r="Z186">
            <v>32900000</v>
          </cell>
          <cell r="AA186">
            <v>31681481.481481478</v>
          </cell>
          <cell r="AB186">
            <v>0</v>
          </cell>
          <cell r="AC186">
            <v>0</v>
          </cell>
          <cell r="AD186">
            <v>31681481.481481478</v>
          </cell>
          <cell r="AE186">
            <v>0</v>
          </cell>
          <cell r="AF186">
            <v>1750000</v>
          </cell>
          <cell r="AG186">
            <v>0</v>
          </cell>
          <cell r="AH186">
            <v>24837365.965156138</v>
          </cell>
          <cell r="AI186">
            <v>155138.88888888888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63423985</v>
          </cell>
          <cell r="AR186">
            <v>63423985</v>
          </cell>
          <cell r="AS186">
            <v>2845500</v>
          </cell>
          <cell r="AT186">
            <v>5826500</v>
          </cell>
          <cell r="AU186">
            <v>135500</v>
          </cell>
          <cell r="AV186">
            <v>542000</v>
          </cell>
          <cell r="AW186">
            <v>77500000</v>
          </cell>
          <cell r="AX186">
            <v>57768846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2981000</v>
          </cell>
          <cell r="BD186">
            <v>0</v>
          </cell>
          <cell r="BE186">
            <v>60442985</v>
          </cell>
          <cell r="BF186">
            <v>60442985</v>
          </cell>
        </row>
        <row r="187">
          <cell r="C187" t="str">
            <v>VB00581</v>
          </cell>
          <cell r="D187" t="str">
            <v>LÊ HUỲNH KỶ</v>
          </cell>
          <cell r="E187" t="str">
            <v>CHT</v>
          </cell>
          <cell r="F187" t="str">
            <v>Trung cấp</v>
          </cell>
          <cell r="G187">
            <v>45793</v>
          </cell>
          <cell r="H187">
            <v>45854</v>
          </cell>
          <cell r="I187">
            <v>1</v>
          </cell>
          <cell r="J187" t="str">
            <v>Chính thức</v>
          </cell>
          <cell r="K187">
            <v>27</v>
          </cell>
          <cell r="L187">
            <v>26</v>
          </cell>
          <cell r="M187">
            <v>0</v>
          </cell>
          <cell r="N187">
            <v>40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26</v>
          </cell>
          <cell r="U187">
            <v>5860000</v>
          </cell>
          <cell r="V187">
            <v>700000</v>
          </cell>
          <cell r="W187">
            <v>1000000</v>
          </cell>
          <cell r="X187">
            <v>600000</v>
          </cell>
          <cell r="Y187">
            <v>400000</v>
          </cell>
          <cell r="Z187">
            <v>8560000</v>
          </cell>
          <cell r="AA187">
            <v>8242962.9629629627</v>
          </cell>
          <cell r="AB187">
            <v>0</v>
          </cell>
          <cell r="AC187">
            <v>0</v>
          </cell>
          <cell r="AD187">
            <v>8242962.9629629627</v>
          </cell>
          <cell r="AF187">
            <v>350000</v>
          </cell>
          <cell r="AG187">
            <v>215000</v>
          </cell>
          <cell r="AH187">
            <v>2340390.0000000005</v>
          </cell>
          <cell r="AI187">
            <v>1627777.7777777778</v>
          </cell>
          <cell r="AJ187">
            <v>0</v>
          </cell>
          <cell r="AK187">
            <v>0</v>
          </cell>
          <cell r="AL187">
            <v>0</v>
          </cell>
          <cell r="AN187">
            <v>0</v>
          </cell>
          <cell r="AP187">
            <v>0</v>
          </cell>
          <cell r="AQ187">
            <v>12776131</v>
          </cell>
          <cell r="AR187">
            <v>12776131</v>
          </cell>
          <cell r="AS187">
            <v>615300</v>
          </cell>
          <cell r="AT187">
            <v>1259900</v>
          </cell>
          <cell r="AU187">
            <v>29300</v>
          </cell>
          <cell r="AV187">
            <v>117200</v>
          </cell>
          <cell r="AW187">
            <v>15500000</v>
          </cell>
          <cell r="AX187">
            <v>9048353</v>
          </cell>
          <cell r="AY187">
            <v>0</v>
          </cell>
          <cell r="AZ187">
            <v>0</v>
          </cell>
          <cell r="BC187">
            <v>644600</v>
          </cell>
          <cell r="BE187">
            <v>12131531</v>
          </cell>
          <cell r="BF187">
            <v>12131531</v>
          </cell>
          <cell r="BG187" t="str">
            <v>CK</v>
          </cell>
          <cell r="BH187">
            <v>8875418643</v>
          </cell>
          <cell r="BI187" t="str">
            <v>BIDV</v>
          </cell>
        </row>
        <row r="188">
          <cell r="C188" t="str">
            <v>VB00567</v>
          </cell>
          <cell r="D188" t="str">
            <v>NGUYỄN MINH HẢO</v>
          </cell>
          <cell r="E188" t="str">
            <v>NVBH</v>
          </cell>
          <cell r="F188" t="str">
            <v>Trung cấp</v>
          </cell>
          <cell r="G188">
            <v>45749</v>
          </cell>
          <cell r="H188">
            <v>45810</v>
          </cell>
          <cell r="I188">
            <v>1</v>
          </cell>
          <cell r="J188" t="str">
            <v>Chính thức</v>
          </cell>
          <cell r="K188">
            <v>27</v>
          </cell>
          <cell r="L188">
            <v>26</v>
          </cell>
          <cell r="M188">
            <v>0</v>
          </cell>
          <cell r="N188">
            <v>40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26</v>
          </cell>
          <cell r="U188">
            <v>5310000</v>
          </cell>
          <cell r="V188">
            <v>700000</v>
          </cell>
          <cell r="W188">
            <v>150000</v>
          </cell>
          <cell r="X188">
            <v>400000</v>
          </cell>
          <cell r="Y188">
            <v>0</v>
          </cell>
          <cell r="Z188">
            <v>6560000</v>
          </cell>
          <cell r="AA188">
            <v>6317037.0370370364</v>
          </cell>
          <cell r="AB188">
            <v>0</v>
          </cell>
          <cell r="AC188">
            <v>0</v>
          </cell>
          <cell r="AD188">
            <v>6317037.0370370364</v>
          </cell>
          <cell r="AF188">
            <v>350000</v>
          </cell>
          <cell r="AG188">
            <v>215000</v>
          </cell>
          <cell r="AH188">
            <v>1651245.0848780484</v>
          </cell>
          <cell r="AI188">
            <v>1475000</v>
          </cell>
          <cell r="AJ188">
            <v>0</v>
          </cell>
          <cell r="AK188">
            <v>0</v>
          </cell>
          <cell r="AL188">
            <v>0</v>
          </cell>
          <cell r="AN188">
            <v>0</v>
          </cell>
          <cell r="AP188">
            <v>0</v>
          </cell>
          <cell r="AQ188">
            <v>10008282</v>
          </cell>
          <cell r="AR188">
            <v>10008282</v>
          </cell>
          <cell r="AS188">
            <v>557550</v>
          </cell>
          <cell r="AT188">
            <v>1141650</v>
          </cell>
          <cell r="AU188">
            <v>26550</v>
          </cell>
          <cell r="AV188">
            <v>106200</v>
          </cell>
          <cell r="AW188">
            <v>15500000</v>
          </cell>
          <cell r="AX188">
            <v>7683282</v>
          </cell>
          <cell r="AY188">
            <v>0</v>
          </cell>
          <cell r="AZ188">
            <v>0</v>
          </cell>
          <cell r="BC188">
            <v>584100</v>
          </cell>
          <cell r="BE188">
            <v>9424182</v>
          </cell>
          <cell r="BF188">
            <v>9424182</v>
          </cell>
          <cell r="BG188" t="str">
            <v>CK</v>
          </cell>
          <cell r="BH188">
            <v>8854985182</v>
          </cell>
          <cell r="BI188" t="str">
            <v>BIDV</v>
          </cell>
        </row>
        <row r="189">
          <cell r="C189" t="str">
            <v>VB00683</v>
          </cell>
          <cell r="D189" t="str">
            <v>TRẦN DUY TÀI</v>
          </cell>
          <cell r="E189" t="str">
            <v>NVBH</v>
          </cell>
          <cell r="F189" t="str">
            <v>Sơ cấp</v>
          </cell>
          <cell r="G189">
            <v>46118</v>
          </cell>
          <cell r="H189">
            <v>46179</v>
          </cell>
          <cell r="I189">
            <v>0</v>
          </cell>
          <cell r="J189" t="str">
            <v>Chính thức</v>
          </cell>
          <cell r="K189">
            <v>27</v>
          </cell>
          <cell r="L189">
            <v>22</v>
          </cell>
          <cell r="M189">
            <v>4</v>
          </cell>
          <cell r="N189">
            <v>13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26</v>
          </cell>
          <cell r="U189">
            <v>5310000</v>
          </cell>
          <cell r="V189">
            <v>700000</v>
          </cell>
          <cell r="W189">
            <v>170000</v>
          </cell>
          <cell r="X189">
            <v>0</v>
          </cell>
          <cell r="Y189">
            <v>0</v>
          </cell>
          <cell r="Z189">
            <v>6180000</v>
          </cell>
          <cell r="AA189">
            <v>5035555.555555555</v>
          </cell>
          <cell r="AB189">
            <v>778222.22222222225</v>
          </cell>
          <cell r="AC189">
            <v>0</v>
          </cell>
          <cell r="AD189">
            <v>5813777.7777777771</v>
          </cell>
          <cell r="AF189">
            <v>350000</v>
          </cell>
          <cell r="AG189">
            <v>215000</v>
          </cell>
          <cell r="AH189">
            <v>1765803.0126829266</v>
          </cell>
          <cell r="AI189">
            <v>479375</v>
          </cell>
          <cell r="AJ189">
            <v>0</v>
          </cell>
          <cell r="AK189">
            <v>0</v>
          </cell>
          <cell r="AL189">
            <v>0</v>
          </cell>
          <cell r="AN189">
            <v>0</v>
          </cell>
          <cell r="AP189">
            <v>0</v>
          </cell>
          <cell r="AQ189">
            <v>8623956</v>
          </cell>
          <cell r="AR189">
            <v>8623956</v>
          </cell>
          <cell r="AS189">
            <v>557550</v>
          </cell>
          <cell r="AT189">
            <v>1141650</v>
          </cell>
          <cell r="AU189">
            <v>26550</v>
          </cell>
          <cell r="AV189">
            <v>106200</v>
          </cell>
          <cell r="AW189">
            <v>15500000</v>
          </cell>
          <cell r="AX189">
            <v>7274581</v>
          </cell>
          <cell r="AY189">
            <v>0</v>
          </cell>
          <cell r="AZ189">
            <v>0</v>
          </cell>
          <cell r="BC189">
            <v>584100</v>
          </cell>
          <cell r="BE189">
            <v>8039856</v>
          </cell>
          <cell r="BF189">
            <v>8039856</v>
          </cell>
          <cell r="BG189" t="str">
            <v>CK</v>
          </cell>
          <cell r="BH189">
            <v>8868558862</v>
          </cell>
          <cell r="BI189" t="str">
            <v>BIDV</v>
          </cell>
        </row>
        <row r="190">
          <cell r="C190" t="str">
            <v>VB00706</v>
          </cell>
          <cell r="D190" t="str">
            <v>LÊ TRẦN VIỆT HÀ</v>
          </cell>
          <cell r="E190" t="str">
            <v>NVBH</v>
          </cell>
          <cell r="F190" t="str">
            <v>Sơ cấp</v>
          </cell>
          <cell r="G190">
            <v>46185</v>
          </cell>
          <cell r="H190">
            <v>46246</v>
          </cell>
          <cell r="I190">
            <v>0</v>
          </cell>
          <cell r="J190" t="str">
            <v>Thử việc</v>
          </cell>
          <cell r="K190">
            <v>27</v>
          </cell>
          <cell r="L190">
            <v>0</v>
          </cell>
          <cell r="M190">
            <v>18</v>
          </cell>
          <cell r="N190">
            <v>10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18</v>
          </cell>
          <cell r="U190">
            <v>5310000</v>
          </cell>
          <cell r="V190">
            <v>700000</v>
          </cell>
          <cell r="W190">
            <v>170000</v>
          </cell>
          <cell r="X190">
            <v>0</v>
          </cell>
          <cell r="Y190">
            <v>0</v>
          </cell>
          <cell r="Z190">
            <v>6180000</v>
          </cell>
          <cell r="AA190">
            <v>0</v>
          </cell>
          <cell r="AB190">
            <v>3502000</v>
          </cell>
          <cell r="AC190">
            <v>0</v>
          </cell>
          <cell r="AD190">
            <v>3502000</v>
          </cell>
          <cell r="AF190">
            <v>242307.69230769231</v>
          </cell>
          <cell r="AG190">
            <v>215000</v>
          </cell>
          <cell r="AH190">
            <v>629619.80487804872</v>
          </cell>
          <cell r="AI190">
            <v>368750</v>
          </cell>
          <cell r="AJ190">
            <v>0</v>
          </cell>
          <cell r="AK190">
            <v>0</v>
          </cell>
          <cell r="AL190">
            <v>0</v>
          </cell>
          <cell r="AN190">
            <v>0</v>
          </cell>
          <cell r="AP190">
            <v>0</v>
          </cell>
          <cell r="AQ190">
            <v>4957677</v>
          </cell>
          <cell r="AR190">
            <v>4957677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15500000</v>
          </cell>
          <cell r="AX190">
            <v>4957677</v>
          </cell>
          <cell r="AY190">
            <v>0</v>
          </cell>
          <cell r="AZ190">
            <v>0</v>
          </cell>
          <cell r="BB190">
            <v>700000</v>
          </cell>
          <cell r="BC190">
            <v>700000</v>
          </cell>
          <cell r="BE190">
            <v>4257677</v>
          </cell>
          <cell r="BF190">
            <v>4257677</v>
          </cell>
          <cell r="BG190" t="str">
            <v>CK</v>
          </cell>
          <cell r="BH190">
            <v>8868429242</v>
          </cell>
          <cell r="BI190" t="str">
            <v>BIDV</v>
          </cell>
        </row>
        <row r="191">
          <cell r="L191">
            <v>74</v>
          </cell>
          <cell r="M191">
            <v>22</v>
          </cell>
          <cell r="N191">
            <v>103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96</v>
          </cell>
          <cell r="U191">
            <v>21790000</v>
          </cell>
          <cell r="V191">
            <v>2800000</v>
          </cell>
          <cell r="W191">
            <v>1490000</v>
          </cell>
          <cell r="X191">
            <v>1000000</v>
          </cell>
          <cell r="Y191">
            <v>400000</v>
          </cell>
          <cell r="Z191">
            <v>27480000</v>
          </cell>
          <cell r="AA191">
            <v>19595555.555555556</v>
          </cell>
          <cell r="AB191">
            <v>4280222.222222222</v>
          </cell>
          <cell r="AC191">
            <v>0</v>
          </cell>
          <cell r="AD191">
            <v>23875777.777777776</v>
          </cell>
          <cell r="AE191">
            <v>0</v>
          </cell>
          <cell r="AF191">
            <v>1292307.6923076923</v>
          </cell>
          <cell r="AG191">
            <v>860000</v>
          </cell>
          <cell r="AH191">
            <v>6387057.9024390243</v>
          </cell>
          <cell r="AI191">
            <v>3950902.777777778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P191">
            <v>0</v>
          </cell>
          <cell r="AQ191">
            <v>36366046</v>
          </cell>
          <cell r="AR191">
            <v>36366046</v>
          </cell>
          <cell r="AS191">
            <v>1730400</v>
          </cell>
          <cell r="AT191">
            <v>3543200</v>
          </cell>
          <cell r="AU191">
            <v>82400</v>
          </cell>
          <cell r="AV191">
            <v>329600</v>
          </cell>
          <cell r="AW191">
            <v>62000000</v>
          </cell>
          <cell r="AX191">
            <v>28963893</v>
          </cell>
          <cell r="AY191">
            <v>0</v>
          </cell>
          <cell r="AZ191">
            <v>0</v>
          </cell>
          <cell r="BA191">
            <v>0</v>
          </cell>
          <cell r="BB191">
            <v>700000</v>
          </cell>
          <cell r="BC191">
            <v>2512800</v>
          </cell>
          <cell r="BD191">
            <v>0</v>
          </cell>
          <cell r="BE191">
            <v>33853246</v>
          </cell>
          <cell r="BF191">
            <v>33853246</v>
          </cell>
        </row>
        <row r="192">
          <cell r="C192" t="str">
            <v>VB00521</v>
          </cell>
          <cell r="D192" t="str">
            <v>NGUYỄN THỊ THU TRANG</v>
          </cell>
          <cell r="E192" t="str">
            <v xml:space="preserve">CHT </v>
          </cell>
          <cell r="F192" t="str">
            <v>Trung cấp</v>
          </cell>
          <cell r="G192">
            <v>45698</v>
          </cell>
          <cell r="H192">
            <v>45759</v>
          </cell>
          <cell r="I192">
            <v>1</v>
          </cell>
          <cell r="J192" t="str">
            <v>Chính thức</v>
          </cell>
          <cell r="K192">
            <v>27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5860000</v>
          </cell>
          <cell r="V192">
            <v>700000</v>
          </cell>
          <cell r="W192">
            <v>1000000</v>
          </cell>
          <cell r="X192">
            <v>800000</v>
          </cell>
          <cell r="Y192">
            <v>400000</v>
          </cell>
          <cell r="Z192">
            <v>8760000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N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15500000</v>
          </cell>
          <cell r="AX192">
            <v>-2100000</v>
          </cell>
          <cell r="AY192">
            <v>0</v>
          </cell>
          <cell r="AZ192">
            <v>0</v>
          </cell>
          <cell r="BC192">
            <v>0</v>
          </cell>
          <cell r="BE192">
            <v>0</v>
          </cell>
          <cell r="BF192">
            <v>0</v>
          </cell>
          <cell r="BG192" t="str">
            <v>CK</v>
          </cell>
          <cell r="BH192">
            <v>8844571715</v>
          </cell>
          <cell r="BI192" t="str">
            <v>BIDV</v>
          </cell>
        </row>
        <row r="193">
          <cell r="C193" t="str">
            <v>VB00574</v>
          </cell>
          <cell r="D193" t="str">
            <v>NGUYỄN THỊ THU TRANG NV</v>
          </cell>
          <cell r="E193" t="str">
            <v>NVBH</v>
          </cell>
          <cell r="F193" t="str">
            <v>Sơ cấp</v>
          </cell>
          <cell r="G193">
            <v>45770</v>
          </cell>
          <cell r="H193">
            <v>45831</v>
          </cell>
          <cell r="I193">
            <v>1</v>
          </cell>
          <cell r="J193" t="str">
            <v>Chính thức</v>
          </cell>
          <cell r="K193">
            <v>27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5310000</v>
          </cell>
          <cell r="V193">
            <v>700000</v>
          </cell>
          <cell r="W193">
            <v>150000</v>
          </cell>
          <cell r="X193">
            <v>500000</v>
          </cell>
          <cell r="Z193">
            <v>6660000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N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15500000</v>
          </cell>
          <cell r="AX193">
            <v>-850000</v>
          </cell>
          <cell r="AY193">
            <v>0</v>
          </cell>
          <cell r="AZ193">
            <v>0</v>
          </cell>
          <cell r="BC193">
            <v>0</v>
          </cell>
          <cell r="BE193">
            <v>0</v>
          </cell>
          <cell r="BF193">
            <v>0</v>
          </cell>
          <cell r="BG193" t="str">
            <v>CK</v>
          </cell>
          <cell r="BH193">
            <v>8865238097</v>
          </cell>
          <cell r="BI193" t="str">
            <v>BIDV</v>
          </cell>
        </row>
        <row r="194">
          <cell r="C194" t="str">
            <v>VBP00022</v>
          </cell>
          <cell r="D194" t="str">
            <v>NGUYỄN KHÁNH LY</v>
          </cell>
          <cell r="E194" t="str">
            <v>NVBH</v>
          </cell>
          <cell r="F194" t="str">
            <v>PART</v>
          </cell>
          <cell r="G194">
            <v>46199</v>
          </cell>
          <cell r="H194">
            <v>46199</v>
          </cell>
          <cell r="I194">
            <v>0</v>
          </cell>
          <cell r="J194" t="str">
            <v>Thời vụ</v>
          </cell>
          <cell r="K194">
            <v>27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266666.66666666669</v>
          </cell>
          <cell r="Z194">
            <v>266666.66666666669</v>
          </cell>
          <cell r="AA194">
            <v>0</v>
          </cell>
          <cell r="AB194">
            <v>0</v>
          </cell>
          <cell r="AD194">
            <v>0</v>
          </cell>
          <cell r="AN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C194">
            <v>0</v>
          </cell>
          <cell r="BE194">
            <v>0</v>
          </cell>
          <cell r="BF194">
            <v>0</v>
          </cell>
          <cell r="BG194" t="str">
            <v>CK</v>
          </cell>
          <cell r="BH194">
            <v>8869413396</v>
          </cell>
          <cell r="BI194" t="str">
            <v>BIDV</v>
          </cell>
        </row>
        <row r="195">
          <cell r="C195" t="str">
            <v>VBP00023</v>
          </cell>
          <cell r="D195" t="str">
            <v>NGUYỄN HÀ PHƯƠNG</v>
          </cell>
          <cell r="E195" t="str">
            <v>NVBH</v>
          </cell>
          <cell r="F195" t="str">
            <v>PART</v>
          </cell>
          <cell r="G195">
            <v>46204</v>
          </cell>
          <cell r="H195">
            <v>46204</v>
          </cell>
          <cell r="I195">
            <v>0</v>
          </cell>
          <cell r="J195" t="str">
            <v>Thời vụ</v>
          </cell>
          <cell r="K195">
            <v>27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266666.66666666669</v>
          </cell>
          <cell r="Z195">
            <v>266666.66666666669</v>
          </cell>
          <cell r="AA195">
            <v>0</v>
          </cell>
          <cell r="AB195">
            <v>0</v>
          </cell>
          <cell r="AD195">
            <v>0</v>
          </cell>
          <cell r="AN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C195">
            <v>0</v>
          </cell>
          <cell r="BE195">
            <v>0</v>
          </cell>
          <cell r="BF195">
            <v>0</v>
          </cell>
          <cell r="BG195" t="str">
            <v>CK</v>
          </cell>
          <cell r="BH195">
            <v>8889368003</v>
          </cell>
          <cell r="BI195" t="str">
            <v>BIDV</v>
          </cell>
        </row>
        <row r="196"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11703333.333333332</v>
          </cell>
          <cell r="V196">
            <v>1400000</v>
          </cell>
          <cell r="W196">
            <v>1150000</v>
          </cell>
          <cell r="X196">
            <v>1300000</v>
          </cell>
          <cell r="Y196">
            <v>400000</v>
          </cell>
          <cell r="Z196">
            <v>15953333.333333332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31000000</v>
          </cell>
          <cell r="AX196">
            <v>-2950000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</row>
        <row r="197">
          <cell r="C197" t="str">
            <v>VB00599</v>
          </cell>
          <cell r="D197" t="str">
            <v>NGÔ THỊ THANH TUYỀN</v>
          </cell>
          <cell r="E197" t="str">
            <v>CHT</v>
          </cell>
          <cell r="F197" t="str">
            <v>Trung cấp</v>
          </cell>
          <cell r="G197">
            <v>45887</v>
          </cell>
          <cell r="H197">
            <v>45948</v>
          </cell>
          <cell r="I197">
            <v>0</v>
          </cell>
          <cell r="J197" t="str">
            <v>Chính thức</v>
          </cell>
          <cell r="K197">
            <v>27</v>
          </cell>
          <cell r="L197">
            <v>25</v>
          </cell>
          <cell r="M197">
            <v>0</v>
          </cell>
          <cell r="N197">
            <v>2</v>
          </cell>
          <cell r="O197">
            <v>0</v>
          </cell>
          <cell r="P197">
            <v>0</v>
          </cell>
          <cell r="Q197">
            <v>9.5</v>
          </cell>
          <cell r="R197">
            <v>0</v>
          </cell>
          <cell r="S197">
            <v>0</v>
          </cell>
          <cell r="T197">
            <v>25</v>
          </cell>
          <cell r="U197">
            <v>5860000</v>
          </cell>
          <cell r="V197">
            <v>700000</v>
          </cell>
          <cell r="W197">
            <v>800000</v>
          </cell>
          <cell r="X197">
            <v>0</v>
          </cell>
          <cell r="Y197">
            <v>400000</v>
          </cell>
          <cell r="Z197">
            <v>7760000</v>
          </cell>
          <cell r="AA197">
            <v>7185185.1851851856</v>
          </cell>
          <cell r="AB197">
            <v>0</v>
          </cell>
          <cell r="AC197">
            <v>0</v>
          </cell>
          <cell r="AD197">
            <v>7185185.1851851856</v>
          </cell>
          <cell r="AF197">
            <v>0</v>
          </cell>
          <cell r="AG197">
            <v>0</v>
          </cell>
          <cell r="AH197">
            <v>4313047.3910597386</v>
          </cell>
          <cell r="AI197">
            <v>81388.888888888891</v>
          </cell>
          <cell r="AJ197">
            <v>0</v>
          </cell>
          <cell r="AK197">
            <v>0</v>
          </cell>
          <cell r="AL197">
            <v>515462.96296296298</v>
          </cell>
          <cell r="AN197">
            <v>0</v>
          </cell>
          <cell r="AP197">
            <v>0</v>
          </cell>
          <cell r="AQ197">
            <v>12095084</v>
          </cell>
          <cell r="AR197">
            <v>12095084</v>
          </cell>
          <cell r="AS197">
            <v>615300</v>
          </cell>
          <cell r="AT197">
            <v>1259900</v>
          </cell>
          <cell r="AU197">
            <v>29300</v>
          </cell>
          <cell r="AV197">
            <v>117200</v>
          </cell>
          <cell r="AW197">
            <v>15500000</v>
          </cell>
          <cell r="AX197">
            <v>9598232</v>
          </cell>
          <cell r="AY197">
            <v>0</v>
          </cell>
          <cell r="AZ197">
            <v>0</v>
          </cell>
          <cell r="BC197">
            <v>644600</v>
          </cell>
          <cell r="BE197">
            <v>11450484</v>
          </cell>
          <cell r="BF197">
            <v>11450484</v>
          </cell>
          <cell r="BG197" t="str">
            <v>CK</v>
          </cell>
          <cell r="BH197">
            <v>8806139664</v>
          </cell>
          <cell r="BI197" t="str">
            <v>BIDV</v>
          </cell>
        </row>
        <row r="198">
          <cell r="C198" t="str">
            <v>VB00600</v>
          </cell>
          <cell r="D198" t="str">
            <v>NGÔ CAO HUYỀN NHI</v>
          </cell>
          <cell r="E198" t="str">
            <v>NVBH</v>
          </cell>
          <cell r="F198" t="str">
            <v>Sơ cấp</v>
          </cell>
          <cell r="G198">
            <v>45887</v>
          </cell>
          <cell r="H198">
            <v>45948</v>
          </cell>
          <cell r="I198">
            <v>0</v>
          </cell>
          <cell r="J198" t="str">
            <v>Chính thức</v>
          </cell>
          <cell r="K198">
            <v>27</v>
          </cell>
          <cell r="L198">
            <v>26</v>
          </cell>
          <cell r="M198">
            <v>0</v>
          </cell>
          <cell r="N198">
            <v>8</v>
          </cell>
          <cell r="O198">
            <v>0</v>
          </cell>
          <cell r="P198">
            <v>0</v>
          </cell>
          <cell r="Q198">
            <v>13.5</v>
          </cell>
          <cell r="R198">
            <v>0</v>
          </cell>
          <cell r="S198">
            <v>0</v>
          </cell>
          <cell r="T198">
            <v>26</v>
          </cell>
          <cell r="U198">
            <v>5310000</v>
          </cell>
          <cell r="V198">
            <v>700000</v>
          </cell>
          <cell r="W198">
            <v>100000</v>
          </cell>
          <cell r="X198">
            <v>0</v>
          </cell>
          <cell r="Y198">
            <v>0</v>
          </cell>
          <cell r="Z198">
            <v>6110000</v>
          </cell>
          <cell r="AA198">
            <v>5883703.7037037034</v>
          </cell>
          <cell r="AB198">
            <v>0</v>
          </cell>
          <cell r="AC198">
            <v>0</v>
          </cell>
          <cell r="AD198">
            <v>5883703.7037037034</v>
          </cell>
          <cell r="AF198">
            <v>350000</v>
          </cell>
          <cell r="AG198">
            <v>0</v>
          </cell>
          <cell r="AH198">
            <v>2305602.8135515549</v>
          </cell>
          <cell r="AI198">
            <v>295000</v>
          </cell>
          <cell r="AJ198">
            <v>0</v>
          </cell>
          <cell r="AK198">
            <v>0</v>
          </cell>
          <cell r="AL198">
            <v>663750</v>
          </cell>
          <cell r="AN198">
            <v>0</v>
          </cell>
          <cell r="AP198">
            <v>0</v>
          </cell>
          <cell r="AQ198">
            <v>9498057</v>
          </cell>
          <cell r="AR198">
            <v>9498057</v>
          </cell>
          <cell r="AS198">
            <v>557550</v>
          </cell>
          <cell r="AT198">
            <v>1141650</v>
          </cell>
          <cell r="AU198">
            <v>26550</v>
          </cell>
          <cell r="AV198">
            <v>106200</v>
          </cell>
          <cell r="AW198">
            <v>15500000</v>
          </cell>
          <cell r="AX198">
            <v>7739307</v>
          </cell>
          <cell r="AY198">
            <v>0</v>
          </cell>
          <cell r="AZ198">
            <v>0</v>
          </cell>
          <cell r="BC198">
            <v>584100</v>
          </cell>
          <cell r="BE198">
            <v>8913957</v>
          </cell>
          <cell r="BF198">
            <v>8913957</v>
          </cell>
          <cell r="BG198" t="str">
            <v>CK</v>
          </cell>
          <cell r="BH198">
            <v>8866182754</v>
          </cell>
          <cell r="BI198" t="str">
            <v>BIDV</v>
          </cell>
        </row>
        <row r="199">
          <cell r="C199" t="str">
            <v>VB00601</v>
          </cell>
          <cell r="D199" t="str">
            <v>ĐẶNG QUANG HUY</v>
          </cell>
          <cell r="E199" t="str">
            <v>NVBH</v>
          </cell>
          <cell r="F199" t="str">
            <v>Sơ cấp</v>
          </cell>
          <cell r="G199">
            <v>45887</v>
          </cell>
          <cell r="H199">
            <v>45948</v>
          </cell>
          <cell r="I199">
            <v>0</v>
          </cell>
          <cell r="J199" t="str">
            <v>Chính thức</v>
          </cell>
          <cell r="K199">
            <v>27</v>
          </cell>
          <cell r="L199">
            <v>26</v>
          </cell>
          <cell r="M199">
            <v>0</v>
          </cell>
          <cell r="N199">
            <v>5</v>
          </cell>
          <cell r="O199">
            <v>4</v>
          </cell>
          <cell r="P199">
            <v>0</v>
          </cell>
          <cell r="Q199">
            <v>13.5</v>
          </cell>
          <cell r="R199">
            <v>0</v>
          </cell>
          <cell r="S199">
            <v>0</v>
          </cell>
          <cell r="T199">
            <v>26</v>
          </cell>
          <cell r="U199">
            <v>5310000</v>
          </cell>
          <cell r="V199">
            <v>700000</v>
          </cell>
          <cell r="W199">
            <v>100000</v>
          </cell>
          <cell r="X199">
            <v>0</v>
          </cell>
          <cell r="Y199">
            <v>0</v>
          </cell>
          <cell r="Z199">
            <v>6110000</v>
          </cell>
          <cell r="AA199">
            <v>5883703.7037037034</v>
          </cell>
          <cell r="AB199">
            <v>0</v>
          </cell>
          <cell r="AC199">
            <v>0</v>
          </cell>
          <cell r="AD199">
            <v>5883703.7037037034</v>
          </cell>
          <cell r="AF199">
            <v>350000</v>
          </cell>
          <cell r="AG199">
            <v>0</v>
          </cell>
          <cell r="AH199">
            <v>2337650.8918698854</v>
          </cell>
          <cell r="AI199">
            <v>184375</v>
          </cell>
          <cell r="AJ199">
            <v>196666.66666666666</v>
          </cell>
          <cell r="AK199">
            <v>0</v>
          </cell>
          <cell r="AL199">
            <v>663750</v>
          </cell>
          <cell r="AN199">
            <v>0</v>
          </cell>
          <cell r="AP199">
            <v>0</v>
          </cell>
          <cell r="AQ199">
            <v>9616146</v>
          </cell>
          <cell r="AR199">
            <v>9616146</v>
          </cell>
          <cell r="AS199">
            <v>557550</v>
          </cell>
          <cell r="AT199">
            <v>1141650</v>
          </cell>
          <cell r="AU199">
            <v>26550</v>
          </cell>
          <cell r="AV199">
            <v>106200</v>
          </cell>
          <cell r="AW199">
            <v>15500000</v>
          </cell>
          <cell r="AX199">
            <v>7771354</v>
          </cell>
          <cell r="AY199">
            <v>0</v>
          </cell>
          <cell r="AZ199">
            <v>0</v>
          </cell>
          <cell r="BC199">
            <v>584100</v>
          </cell>
          <cell r="BE199">
            <v>9032046</v>
          </cell>
          <cell r="BF199">
            <v>9032046</v>
          </cell>
          <cell r="BG199" t="str">
            <v>CK</v>
          </cell>
          <cell r="BH199">
            <v>8896192414</v>
          </cell>
          <cell r="BI199" t="str">
            <v>BIDV</v>
          </cell>
        </row>
        <row r="200">
          <cell r="C200" t="str">
            <v>VB00603</v>
          </cell>
          <cell r="D200" t="str">
            <v>NGUYỄN THÀNH QUỐC</v>
          </cell>
          <cell r="E200" t="str">
            <v>NVBH</v>
          </cell>
          <cell r="F200" t="str">
            <v>Sơ cấp</v>
          </cell>
          <cell r="G200">
            <v>45887</v>
          </cell>
          <cell r="H200">
            <v>45948</v>
          </cell>
          <cell r="I200">
            <v>0</v>
          </cell>
          <cell r="J200" t="str">
            <v>Chính thức</v>
          </cell>
          <cell r="K200">
            <v>27</v>
          </cell>
          <cell r="L200">
            <v>26</v>
          </cell>
          <cell r="M200">
            <v>0</v>
          </cell>
          <cell r="N200">
            <v>14.5</v>
          </cell>
          <cell r="O200">
            <v>3</v>
          </cell>
          <cell r="P200">
            <v>0</v>
          </cell>
          <cell r="Q200">
            <v>13.5</v>
          </cell>
          <cell r="R200">
            <v>0</v>
          </cell>
          <cell r="S200">
            <v>0</v>
          </cell>
          <cell r="T200">
            <v>26</v>
          </cell>
          <cell r="U200">
            <v>5310000</v>
          </cell>
          <cell r="V200">
            <v>700000</v>
          </cell>
          <cell r="W200">
            <v>100000</v>
          </cell>
          <cell r="X200">
            <v>0</v>
          </cell>
          <cell r="Y200">
            <v>0</v>
          </cell>
          <cell r="Z200">
            <v>6110000</v>
          </cell>
          <cell r="AA200">
            <v>5883703.7037037034</v>
          </cell>
          <cell r="AB200">
            <v>0</v>
          </cell>
          <cell r="AC200">
            <v>0</v>
          </cell>
          <cell r="AD200">
            <v>5883703.7037037034</v>
          </cell>
          <cell r="AF200">
            <v>350000</v>
          </cell>
          <cell r="AG200">
            <v>0</v>
          </cell>
          <cell r="AH200">
            <v>2557458.1873076921</v>
          </cell>
          <cell r="AI200">
            <v>534687.5</v>
          </cell>
          <cell r="AJ200">
            <v>147500</v>
          </cell>
          <cell r="AK200">
            <v>0</v>
          </cell>
          <cell r="AL200">
            <v>663750</v>
          </cell>
          <cell r="AN200">
            <v>0</v>
          </cell>
          <cell r="AP200">
            <v>0</v>
          </cell>
          <cell r="AQ200">
            <v>10137099</v>
          </cell>
          <cell r="AR200">
            <v>10137099</v>
          </cell>
          <cell r="AS200">
            <v>557550</v>
          </cell>
          <cell r="AT200">
            <v>1141650</v>
          </cell>
          <cell r="AU200">
            <v>26550</v>
          </cell>
          <cell r="AV200">
            <v>106200</v>
          </cell>
          <cell r="AW200">
            <v>15500000</v>
          </cell>
          <cell r="AX200">
            <v>7991162</v>
          </cell>
          <cell r="AY200">
            <v>0</v>
          </cell>
          <cell r="AZ200">
            <v>0</v>
          </cell>
          <cell r="BC200">
            <v>584100</v>
          </cell>
          <cell r="BE200">
            <v>9552999</v>
          </cell>
          <cell r="BF200">
            <v>9552999</v>
          </cell>
          <cell r="BG200" t="str">
            <v>CK</v>
          </cell>
          <cell r="BH200">
            <v>8866163233</v>
          </cell>
          <cell r="BI200" t="str">
            <v>BIDV</v>
          </cell>
        </row>
        <row r="201">
          <cell r="C201" t="str">
            <v>VB00624</v>
          </cell>
          <cell r="D201" t="str">
            <v>TRẦN THỊ THANH DIỆU</v>
          </cell>
          <cell r="E201" t="str">
            <v>NVBH</v>
          </cell>
          <cell r="F201" t="str">
            <v>Sơ cấp</v>
          </cell>
          <cell r="G201">
            <v>45942</v>
          </cell>
          <cell r="H201">
            <v>46003</v>
          </cell>
          <cell r="I201">
            <v>0</v>
          </cell>
          <cell r="J201" t="str">
            <v>Chính thức</v>
          </cell>
          <cell r="K201">
            <v>27</v>
          </cell>
          <cell r="L201">
            <v>26</v>
          </cell>
          <cell r="M201">
            <v>0</v>
          </cell>
          <cell r="N201">
            <v>6</v>
          </cell>
          <cell r="O201">
            <v>0</v>
          </cell>
          <cell r="P201">
            <v>0</v>
          </cell>
          <cell r="Q201">
            <v>13.5</v>
          </cell>
          <cell r="R201">
            <v>0</v>
          </cell>
          <cell r="S201">
            <v>0</v>
          </cell>
          <cell r="T201">
            <v>26</v>
          </cell>
          <cell r="U201">
            <v>5310000</v>
          </cell>
          <cell r="V201">
            <v>700000</v>
          </cell>
          <cell r="W201">
            <v>100000</v>
          </cell>
          <cell r="X201">
            <v>0</v>
          </cell>
          <cell r="Y201">
            <v>0</v>
          </cell>
          <cell r="Z201">
            <v>6110000</v>
          </cell>
          <cell r="AA201">
            <v>5883703.7037037034</v>
          </cell>
          <cell r="AB201">
            <v>0</v>
          </cell>
          <cell r="AC201">
            <v>0</v>
          </cell>
          <cell r="AD201">
            <v>5883703.7037037034</v>
          </cell>
          <cell r="AF201">
            <v>350000</v>
          </cell>
          <cell r="AG201">
            <v>0</v>
          </cell>
          <cell r="AH201">
            <v>2342367.7010965631</v>
          </cell>
          <cell r="AI201">
            <v>221250</v>
          </cell>
          <cell r="AJ201">
            <v>0</v>
          </cell>
          <cell r="AK201">
            <v>0</v>
          </cell>
          <cell r="AL201">
            <v>663750</v>
          </cell>
          <cell r="AN201">
            <v>0</v>
          </cell>
          <cell r="AP201">
            <v>0</v>
          </cell>
          <cell r="AQ201">
            <v>9461071</v>
          </cell>
          <cell r="AR201">
            <v>9461071</v>
          </cell>
          <cell r="AS201">
            <v>557550</v>
          </cell>
          <cell r="AT201">
            <v>1141650</v>
          </cell>
          <cell r="AU201">
            <v>26550</v>
          </cell>
          <cell r="AV201">
            <v>106200</v>
          </cell>
          <cell r="AW201">
            <v>15500000</v>
          </cell>
          <cell r="AX201">
            <v>7776071</v>
          </cell>
          <cell r="AY201">
            <v>0</v>
          </cell>
          <cell r="AZ201">
            <v>0</v>
          </cell>
          <cell r="BC201">
            <v>584100</v>
          </cell>
          <cell r="BE201">
            <v>8876971</v>
          </cell>
          <cell r="BF201">
            <v>8876971</v>
          </cell>
          <cell r="BG201" t="str">
            <v>CK</v>
          </cell>
          <cell r="BH201">
            <v>8846873468</v>
          </cell>
          <cell r="BI201" t="str">
            <v>BIDV</v>
          </cell>
        </row>
        <row r="202">
          <cell r="L202">
            <v>129</v>
          </cell>
          <cell r="M202">
            <v>0</v>
          </cell>
          <cell r="N202">
            <v>35.5</v>
          </cell>
          <cell r="O202">
            <v>7</v>
          </cell>
          <cell r="P202">
            <v>0</v>
          </cell>
          <cell r="Q202">
            <v>63.5</v>
          </cell>
          <cell r="R202">
            <v>0</v>
          </cell>
          <cell r="S202">
            <v>0</v>
          </cell>
          <cell r="T202">
            <v>129</v>
          </cell>
          <cell r="U202">
            <v>27100000</v>
          </cell>
          <cell r="V202">
            <v>3500000</v>
          </cell>
          <cell r="W202">
            <v>1200000</v>
          </cell>
          <cell r="X202">
            <v>0</v>
          </cell>
          <cell r="Y202">
            <v>400000</v>
          </cell>
          <cell r="Z202">
            <v>32200000</v>
          </cell>
          <cell r="AA202">
            <v>30719999.999999993</v>
          </cell>
          <cell r="AB202">
            <v>0</v>
          </cell>
          <cell r="AC202">
            <v>0</v>
          </cell>
          <cell r="AD202">
            <v>30719999.999999993</v>
          </cell>
          <cell r="AE202">
            <v>0</v>
          </cell>
          <cell r="AF202">
            <v>1400000</v>
          </cell>
          <cell r="AG202">
            <v>0</v>
          </cell>
          <cell r="AH202">
            <v>13856126.984885434</v>
          </cell>
          <cell r="AI202">
            <v>1316701.388888889</v>
          </cell>
          <cell r="AJ202">
            <v>344166.66666666663</v>
          </cell>
          <cell r="AK202">
            <v>0</v>
          </cell>
          <cell r="AL202">
            <v>3170462.9629629627</v>
          </cell>
          <cell r="AM202">
            <v>0</v>
          </cell>
          <cell r="AN202">
            <v>0</v>
          </cell>
          <cell r="AP202">
            <v>0</v>
          </cell>
          <cell r="AQ202">
            <v>50807457</v>
          </cell>
          <cell r="AR202">
            <v>50807457</v>
          </cell>
          <cell r="AS202">
            <v>2845500</v>
          </cell>
          <cell r="AT202">
            <v>5826500</v>
          </cell>
          <cell r="AU202">
            <v>135500</v>
          </cell>
          <cell r="AV202">
            <v>542000</v>
          </cell>
          <cell r="AW202">
            <v>77500000</v>
          </cell>
          <cell r="AX202">
            <v>40876126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2981000</v>
          </cell>
          <cell r="BD202">
            <v>0</v>
          </cell>
          <cell r="BE202">
            <v>47826457</v>
          </cell>
          <cell r="BF202">
            <v>47826457</v>
          </cell>
          <cell r="BG202">
            <v>0</v>
          </cell>
        </row>
        <row r="203">
          <cell r="C203" t="str">
            <v>VB00616</v>
          </cell>
          <cell r="D203" t="str">
            <v>ĐỖ THỊ THẢO UYÊN</v>
          </cell>
          <cell r="E203" t="str">
            <v>CHT</v>
          </cell>
          <cell r="F203" t="str">
            <v>Trung cấp</v>
          </cell>
          <cell r="G203">
            <v>45916</v>
          </cell>
          <cell r="H203">
            <v>45977</v>
          </cell>
          <cell r="I203">
            <v>0</v>
          </cell>
          <cell r="J203" t="str">
            <v>Chính thức</v>
          </cell>
          <cell r="K203">
            <v>27</v>
          </cell>
          <cell r="L203">
            <v>26</v>
          </cell>
          <cell r="M203">
            <v>0</v>
          </cell>
          <cell r="N203">
            <v>2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26</v>
          </cell>
          <cell r="U203">
            <v>5860000</v>
          </cell>
          <cell r="V203">
            <v>700000</v>
          </cell>
          <cell r="W203">
            <v>800000</v>
          </cell>
          <cell r="X203">
            <v>0</v>
          </cell>
          <cell r="Y203">
            <v>400000</v>
          </cell>
          <cell r="Z203">
            <v>7760000</v>
          </cell>
          <cell r="AA203">
            <v>7472592.5925925933</v>
          </cell>
          <cell r="AB203">
            <v>0</v>
          </cell>
          <cell r="AC203">
            <v>0</v>
          </cell>
          <cell r="AD203">
            <v>7472592.5925925933</v>
          </cell>
          <cell r="AF203">
            <v>350000</v>
          </cell>
          <cell r="AH203">
            <v>9950440.9534883723</v>
          </cell>
          <cell r="AI203">
            <v>81388.888888888891</v>
          </cell>
          <cell r="AJ203">
            <v>0</v>
          </cell>
          <cell r="AK203">
            <v>0</v>
          </cell>
          <cell r="AL203">
            <v>0</v>
          </cell>
          <cell r="AN203">
            <v>0</v>
          </cell>
          <cell r="AP203">
            <v>0</v>
          </cell>
          <cell r="AQ203">
            <v>17854422</v>
          </cell>
          <cell r="AR203">
            <v>17854422</v>
          </cell>
          <cell r="AS203">
            <v>615300</v>
          </cell>
          <cell r="AT203">
            <v>1259900</v>
          </cell>
          <cell r="AU203">
            <v>29300</v>
          </cell>
          <cell r="AV203">
            <v>117200</v>
          </cell>
          <cell r="AW203">
            <v>15500000</v>
          </cell>
          <cell r="AX203">
            <v>15873033</v>
          </cell>
          <cell r="AY203">
            <v>0</v>
          </cell>
          <cell r="AZ203">
            <v>0</v>
          </cell>
          <cell r="BC203">
            <v>644600</v>
          </cell>
          <cell r="BE203">
            <v>17209822</v>
          </cell>
          <cell r="BF203">
            <v>17209822</v>
          </cell>
          <cell r="BG203" t="str">
            <v>CK</v>
          </cell>
          <cell r="BH203">
            <v>8836367276</v>
          </cell>
          <cell r="BI203" t="str">
            <v>BIDV</v>
          </cell>
        </row>
        <row r="204">
          <cell r="C204" t="str">
            <v>VB00617</v>
          </cell>
          <cell r="D204" t="str">
            <v>KIỀU THỊ KIM THOA</v>
          </cell>
          <cell r="E204" t="str">
            <v>NVBH</v>
          </cell>
          <cell r="F204" t="str">
            <v>Trung cấp</v>
          </cell>
          <cell r="G204">
            <v>45916</v>
          </cell>
          <cell r="H204">
            <v>45977</v>
          </cell>
          <cell r="I204">
            <v>0</v>
          </cell>
          <cell r="J204" t="str">
            <v>Chính thức</v>
          </cell>
          <cell r="K204">
            <v>27</v>
          </cell>
          <cell r="L204">
            <v>26</v>
          </cell>
          <cell r="M204">
            <v>0</v>
          </cell>
          <cell r="N204">
            <v>4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26</v>
          </cell>
          <cell r="U204">
            <v>5310000</v>
          </cell>
          <cell r="V204">
            <v>700000</v>
          </cell>
          <cell r="W204">
            <v>200000</v>
          </cell>
          <cell r="X204">
            <v>0</v>
          </cell>
          <cell r="Y204">
            <v>0</v>
          </cell>
          <cell r="Z204">
            <v>6210000</v>
          </cell>
          <cell r="AA204">
            <v>5980000</v>
          </cell>
          <cell r="AB204">
            <v>0</v>
          </cell>
          <cell r="AC204">
            <v>0</v>
          </cell>
          <cell r="AD204">
            <v>5980000</v>
          </cell>
          <cell r="AF204">
            <v>350000</v>
          </cell>
          <cell r="AH204">
            <v>6511061.3953488367</v>
          </cell>
          <cell r="AI204">
            <v>147500</v>
          </cell>
          <cell r="AJ204">
            <v>0</v>
          </cell>
          <cell r="AK204">
            <v>0</v>
          </cell>
          <cell r="AL204">
            <v>0</v>
          </cell>
          <cell r="AN204">
            <v>0</v>
          </cell>
          <cell r="AP204">
            <v>0</v>
          </cell>
          <cell r="AQ204">
            <v>12988561</v>
          </cell>
          <cell r="AR204">
            <v>12988561</v>
          </cell>
          <cell r="AS204">
            <v>557550</v>
          </cell>
          <cell r="AT204">
            <v>1141650</v>
          </cell>
          <cell r="AU204">
            <v>26550</v>
          </cell>
          <cell r="AV204">
            <v>106200</v>
          </cell>
          <cell r="AW204">
            <v>15500000</v>
          </cell>
          <cell r="AX204">
            <v>11941061</v>
          </cell>
          <cell r="AY204">
            <v>0</v>
          </cell>
          <cell r="AZ204">
            <v>0</v>
          </cell>
          <cell r="BC204">
            <v>584100</v>
          </cell>
          <cell r="BE204">
            <v>12404461</v>
          </cell>
          <cell r="BF204">
            <v>12404461</v>
          </cell>
          <cell r="BG204" t="str">
            <v>CK</v>
          </cell>
          <cell r="BH204">
            <v>8826363789</v>
          </cell>
          <cell r="BI204" t="str">
            <v>BIDV</v>
          </cell>
        </row>
        <row r="205">
          <cell r="C205" t="str">
            <v>VB00641</v>
          </cell>
          <cell r="D205" t="str">
            <v>PHẠM TƯỜNG VY</v>
          </cell>
          <cell r="E205" t="str">
            <v>NVBH</v>
          </cell>
          <cell r="F205" t="str">
            <v>Trung cấp</v>
          </cell>
          <cell r="G205">
            <v>46013</v>
          </cell>
          <cell r="H205">
            <v>46074</v>
          </cell>
          <cell r="I205">
            <v>0</v>
          </cell>
          <cell r="J205" t="str">
            <v>Chính thức</v>
          </cell>
          <cell r="K205">
            <v>27</v>
          </cell>
          <cell r="L205">
            <v>26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26</v>
          </cell>
          <cell r="U205">
            <v>5310000</v>
          </cell>
          <cell r="V205">
            <v>700000</v>
          </cell>
          <cell r="W205">
            <v>200000</v>
          </cell>
          <cell r="X205">
            <v>0</v>
          </cell>
          <cell r="Y205">
            <v>0</v>
          </cell>
          <cell r="Z205">
            <v>6210000</v>
          </cell>
          <cell r="AA205">
            <v>5980000</v>
          </cell>
          <cell r="AB205">
            <v>0</v>
          </cell>
          <cell r="AC205">
            <v>0</v>
          </cell>
          <cell r="AD205">
            <v>5980000</v>
          </cell>
          <cell r="AF205">
            <v>350000</v>
          </cell>
          <cell r="AH205">
            <v>6517965.0232558139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N205">
            <v>0</v>
          </cell>
          <cell r="AP205">
            <v>0</v>
          </cell>
          <cell r="AQ205">
            <v>12847965</v>
          </cell>
          <cell r="AR205">
            <v>12847965</v>
          </cell>
          <cell r="AS205">
            <v>557550</v>
          </cell>
          <cell r="AT205">
            <v>1141650</v>
          </cell>
          <cell r="AU205">
            <v>26550</v>
          </cell>
          <cell r="AV205">
            <v>106200</v>
          </cell>
          <cell r="AW205">
            <v>15500000</v>
          </cell>
          <cell r="AX205">
            <v>11947965</v>
          </cell>
          <cell r="AY205">
            <v>0</v>
          </cell>
          <cell r="AZ205">
            <v>0</v>
          </cell>
          <cell r="BC205">
            <v>584100</v>
          </cell>
          <cell r="BE205">
            <v>12263865</v>
          </cell>
          <cell r="BF205">
            <v>12263865</v>
          </cell>
          <cell r="BG205" t="str">
            <v>CK</v>
          </cell>
          <cell r="BH205">
            <v>7010877595</v>
          </cell>
          <cell r="BI205" t="str">
            <v>BIDV</v>
          </cell>
          <cell r="BJ205">
            <v>46264</v>
          </cell>
        </row>
        <row r="206">
          <cell r="C206" t="str">
            <v>VB00684</v>
          </cell>
          <cell r="D206" t="str">
            <v>NGUYỄN THỊ KIM THƯƠNG</v>
          </cell>
          <cell r="E206" t="str">
            <v>NVBH</v>
          </cell>
          <cell r="F206" t="str">
            <v>Sơ cấp</v>
          </cell>
          <cell r="G206">
            <v>46125</v>
          </cell>
          <cell r="H206">
            <v>46186</v>
          </cell>
          <cell r="I206">
            <v>0</v>
          </cell>
          <cell r="J206" t="str">
            <v>Chính thức</v>
          </cell>
          <cell r="K206">
            <v>27</v>
          </cell>
          <cell r="L206">
            <v>17</v>
          </cell>
          <cell r="M206">
            <v>9</v>
          </cell>
          <cell r="N206">
            <v>3.5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26</v>
          </cell>
          <cell r="U206">
            <v>5310000</v>
          </cell>
          <cell r="V206">
            <v>700000</v>
          </cell>
          <cell r="W206">
            <v>100000</v>
          </cell>
          <cell r="X206">
            <v>0</v>
          </cell>
          <cell r="Y206">
            <v>0</v>
          </cell>
          <cell r="Z206">
            <v>6110000</v>
          </cell>
          <cell r="AA206">
            <v>3847037.0370370368</v>
          </cell>
          <cell r="AB206">
            <v>1731166.6666666667</v>
          </cell>
          <cell r="AC206">
            <v>0</v>
          </cell>
          <cell r="AD206">
            <v>5578203.7037037034</v>
          </cell>
          <cell r="AF206">
            <v>350000</v>
          </cell>
          <cell r="AH206">
            <v>5240578.5860465113</v>
          </cell>
          <cell r="AI206">
            <v>129062.49999999999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P206">
            <v>0</v>
          </cell>
          <cell r="AQ206">
            <v>11297845</v>
          </cell>
          <cell r="AR206">
            <v>11297845</v>
          </cell>
          <cell r="AS206">
            <v>557550</v>
          </cell>
          <cell r="AT206">
            <v>1141650</v>
          </cell>
          <cell r="AU206">
            <v>26550</v>
          </cell>
          <cell r="AV206">
            <v>106200</v>
          </cell>
          <cell r="AW206">
            <v>15500000</v>
          </cell>
          <cell r="AX206">
            <v>10368783</v>
          </cell>
          <cell r="AY206">
            <v>0</v>
          </cell>
          <cell r="AZ206">
            <v>0</v>
          </cell>
          <cell r="BC206">
            <v>584100</v>
          </cell>
          <cell r="BE206">
            <v>10713745</v>
          </cell>
          <cell r="BF206">
            <v>10713745</v>
          </cell>
          <cell r="BH206">
            <v>8875720970</v>
          </cell>
          <cell r="BI206" t="str">
            <v>BIDV</v>
          </cell>
        </row>
        <row r="207">
          <cell r="L207">
            <v>95</v>
          </cell>
          <cell r="M207">
            <v>9</v>
          </cell>
          <cell r="N207">
            <v>9.5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104</v>
          </cell>
          <cell r="U207">
            <v>21790000</v>
          </cell>
          <cell r="V207">
            <v>2800000</v>
          </cell>
          <cell r="W207">
            <v>1300000</v>
          </cell>
          <cell r="X207">
            <v>0</v>
          </cell>
          <cell r="Y207">
            <v>400000</v>
          </cell>
          <cell r="Z207">
            <v>26290000</v>
          </cell>
          <cell r="AA207">
            <v>23279629.629629631</v>
          </cell>
          <cell r="AB207">
            <v>1731166.6666666667</v>
          </cell>
          <cell r="AC207">
            <v>0</v>
          </cell>
          <cell r="AD207">
            <v>25010796.296296299</v>
          </cell>
          <cell r="AE207">
            <v>0</v>
          </cell>
          <cell r="AF207">
            <v>1400000</v>
          </cell>
          <cell r="AG207">
            <v>0</v>
          </cell>
          <cell r="AH207">
            <v>28220045.958139531</v>
          </cell>
          <cell r="AI207">
            <v>357951.38888888888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P207">
            <v>0</v>
          </cell>
          <cell r="AQ207">
            <v>54988793</v>
          </cell>
          <cell r="AR207">
            <v>54988793</v>
          </cell>
          <cell r="AS207">
            <v>2287950</v>
          </cell>
          <cell r="AT207">
            <v>4684850</v>
          </cell>
          <cell r="AU207">
            <v>108950</v>
          </cell>
          <cell r="AV207">
            <v>435800</v>
          </cell>
          <cell r="AW207">
            <v>62000000</v>
          </cell>
          <cell r="AX207">
            <v>50130842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2396900</v>
          </cell>
          <cell r="BD207">
            <v>0</v>
          </cell>
          <cell r="BE207">
            <v>52591893</v>
          </cell>
          <cell r="BF207">
            <v>52591893</v>
          </cell>
          <cell r="BG207">
            <v>0</v>
          </cell>
        </row>
        <row r="208">
          <cell r="C208" t="str">
            <v>VB00613</v>
          </cell>
          <cell r="D208" t="str">
            <v>LÊ THỊ KIM DUYÊN</v>
          </cell>
          <cell r="E208" t="str">
            <v>NVBH</v>
          </cell>
          <cell r="F208" t="str">
            <v>Sơ cấp</v>
          </cell>
          <cell r="G208">
            <v>45916</v>
          </cell>
          <cell r="H208">
            <v>45977</v>
          </cell>
          <cell r="I208">
            <v>0</v>
          </cell>
          <cell r="J208" t="str">
            <v>Chính thức</v>
          </cell>
          <cell r="K208">
            <v>27</v>
          </cell>
          <cell r="L208">
            <v>26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26</v>
          </cell>
          <cell r="U208">
            <v>5310000</v>
          </cell>
          <cell r="V208">
            <v>700000</v>
          </cell>
          <cell r="W208">
            <v>600000</v>
          </cell>
          <cell r="Y208">
            <v>400000</v>
          </cell>
          <cell r="Z208">
            <v>7010000</v>
          </cell>
          <cell r="AA208">
            <v>6750370.3703703703</v>
          </cell>
          <cell r="AB208">
            <v>0</v>
          </cell>
          <cell r="AC208">
            <v>0</v>
          </cell>
          <cell r="AD208">
            <v>6750370.3703703703</v>
          </cell>
          <cell r="AF208">
            <v>350000</v>
          </cell>
          <cell r="AG208">
            <v>0</v>
          </cell>
          <cell r="AH208">
            <v>1771755.2432432431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N208">
            <v>1000000</v>
          </cell>
          <cell r="AP208">
            <v>0</v>
          </cell>
          <cell r="AQ208">
            <v>9872126</v>
          </cell>
          <cell r="AR208">
            <v>9872126</v>
          </cell>
          <cell r="AS208">
            <v>557550</v>
          </cell>
          <cell r="AT208">
            <v>1141650</v>
          </cell>
          <cell r="AU208">
            <v>26550</v>
          </cell>
          <cell r="AV208">
            <v>106200</v>
          </cell>
          <cell r="AW208">
            <v>15500000</v>
          </cell>
          <cell r="AX208">
            <v>8172126</v>
          </cell>
          <cell r="AY208">
            <v>0</v>
          </cell>
          <cell r="AZ208">
            <v>0</v>
          </cell>
          <cell r="BC208">
            <v>584100</v>
          </cell>
          <cell r="BE208">
            <v>9288026</v>
          </cell>
          <cell r="BF208">
            <v>8288026</v>
          </cell>
          <cell r="BG208" t="str">
            <v>CK</v>
          </cell>
          <cell r="BH208">
            <v>8826546961</v>
          </cell>
          <cell r="BI208" t="str">
            <v>BIDV</v>
          </cell>
        </row>
        <row r="209">
          <cell r="C209" t="str">
            <v>VB00636</v>
          </cell>
          <cell r="D209" t="str">
            <v>HỒ ĐẶNG PHƯƠNG THƯ</v>
          </cell>
          <cell r="E209" t="str">
            <v>NVBH</v>
          </cell>
          <cell r="F209" t="str">
            <v>Sơ cấp</v>
          </cell>
          <cell r="G209">
            <v>45992</v>
          </cell>
          <cell r="H209">
            <v>46053</v>
          </cell>
          <cell r="I209">
            <v>0</v>
          </cell>
          <cell r="J209" t="str">
            <v>Chính thức</v>
          </cell>
          <cell r="K209">
            <v>27</v>
          </cell>
          <cell r="L209">
            <v>26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26</v>
          </cell>
          <cell r="U209">
            <v>5310000</v>
          </cell>
          <cell r="V209">
            <v>700000</v>
          </cell>
          <cell r="W209">
            <v>100000</v>
          </cell>
          <cell r="X209">
            <v>0</v>
          </cell>
          <cell r="Y209">
            <v>0</v>
          </cell>
          <cell r="Z209">
            <v>6110000</v>
          </cell>
          <cell r="AA209">
            <v>5883703.7037037034</v>
          </cell>
          <cell r="AB209">
            <v>0</v>
          </cell>
          <cell r="AC209">
            <v>0</v>
          </cell>
          <cell r="AD209">
            <v>5883703.7037037034</v>
          </cell>
          <cell r="AF209">
            <v>350000</v>
          </cell>
          <cell r="AG209">
            <v>0</v>
          </cell>
          <cell r="AH209">
            <v>1009334.3579329984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N209">
            <v>1000000</v>
          </cell>
          <cell r="AP209">
            <v>0</v>
          </cell>
          <cell r="AQ209">
            <v>8243038</v>
          </cell>
          <cell r="AR209">
            <v>8243038</v>
          </cell>
          <cell r="AS209">
            <v>557550</v>
          </cell>
          <cell r="AT209">
            <v>1141650</v>
          </cell>
          <cell r="AU209">
            <v>26550</v>
          </cell>
          <cell r="AV209">
            <v>106200</v>
          </cell>
          <cell r="AW209">
            <v>15500000</v>
          </cell>
          <cell r="AX209">
            <v>7443038</v>
          </cell>
          <cell r="AY209">
            <v>0</v>
          </cell>
          <cell r="AZ209">
            <v>0</v>
          </cell>
          <cell r="BC209">
            <v>584100</v>
          </cell>
          <cell r="BE209">
            <v>7658938</v>
          </cell>
          <cell r="BF209">
            <v>6658938</v>
          </cell>
          <cell r="BG209" t="str">
            <v>CK</v>
          </cell>
          <cell r="BH209">
            <v>8867196561</v>
          </cell>
          <cell r="BI209" t="str">
            <v>BIDV</v>
          </cell>
        </row>
        <row r="210">
          <cell r="C210" t="str">
            <v>VB00697</v>
          </cell>
          <cell r="D210" t="str">
            <v>VÕ THỊ NHƯ QUỲNH</v>
          </cell>
          <cell r="E210" t="str">
            <v>NVBH</v>
          </cell>
          <cell r="F210" t="str">
            <v>Sơ cấp</v>
          </cell>
          <cell r="G210">
            <v>46157</v>
          </cell>
          <cell r="H210">
            <v>46218</v>
          </cell>
          <cell r="I210">
            <v>0</v>
          </cell>
          <cell r="J210" t="str">
            <v>Thử việc</v>
          </cell>
          <cell r="K210">
            <v>27</v>
          </cell>
          <cell r="L210">
            <v>0</v>
          </cell>
          <cell r="M210">
            <v>26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26</v>
          </cell>
          <cell r="U210">
            <v>5310000</v>
          </cell>
          <cell r="V210">
            <v>700000</v>
          </cell>
          <cell r="W210">
            <v>100000</v>
          </cell>
          <cell r="X210">
            <v>0</v>
          </cell>
          <cell r="Y210">
            <v>0</v>
          </cell>
          <cell r="Z210">
            <v>6110000</v>
          </cell>
          <cell r="AA210">
            <v>0</v>
          </cell>
          <cell r="AB210">
            <v>5001148.1481481483</v>
          </cell>
          <cell r="AC210">
            <v>0</v>
          </cell>
          <cell r="AD210">
            <v>5001148.1481481483</v>
          </cell>
          <cell r="AF210">
            <v>350000</v>
          </cell>
          <cell r="AG210">
            <v>0</v>
          </cell>
          <cell r="AH210">
            <v>970659.40594285366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N210">
            <v>1000000</v>
          </cell>
          <cell r="AP210">
            <v>0</v>
          </cell>
          <cell r="AQ210">
            <v>7321808</v>
          </cell>
          <cell r="AR210">
            <v>7321808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15500000</v>
          </cell>
          <cell r="AX210">
            <v>7321808</v>
          </cell>
          <cell r="AY210">
            <v>7321808</v>
          </cell>
          <cell r="AZ210">
            <v>732181</v>
          </cell>
          <cell r="BC210">
            <v>732181</v>
          </cell>
          <cell r="BE210">
            <v>6589627</v>
          </cell>
          <cell r="BF210">
            <v>5589627</v>
          </cell>
          <cell r="BG210" t="str">
            <v>CK</v>
          </cell>
          <cell r="BH210">
            <v>8819035124</v>
          </cell>
          <cell r="BI210" t="str">
            <v>BIDV</v>
          </cell>
          <cell r="BJ210">
            <v>46219</v>
          </cell>
        </row>
        <row r="211">
          <cell r="C211" t="str">
            <v>VB00698</v>
          </cell>
          <cell r="D211" t="str">
            <v>NGUYỄN CHÂU HUỲNH NHƯ</v>
          </cell>
          <cell r="E211" t="str">
            <v>NVBH</v>
          </cell>
          <cell r="F211" t="str">
            <v>Sơ cấp</v>
          </cell>
          <cell r="G211">
            <v>46167</v>
          </cell>
          <cell r="H211">
            <v>46228</v>
          </cell>
          <cell r="I211">
            <v>0</v>
          </cell>
          <cell r="J211" t="str">
            <v>Thử việc</v>
          </cell>
          <cell r="K211">
            <v>27</v>
          </cell>
          <cell r="L211">
            <v>0</v>
          </cell>
          <cell r="M211">
            <v>26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26</v>
          </cell>
          <cell r="U211">
            <v>5310000</v>
          </cell>
          <cell r="V211">
            <v>700000</v>
          </cell>
          <cell r="W211">
            <v>100000</v>
          </cell>
          <cell r="X211">
            <v>0</v>
          </cell>
          <cell r="Y211">
            <v>0</v>
          </cell>
          <cell r="Z211">
            <v>6110000</v>
          </cell>
          <cell r="AA211">
            <v>0</v>
          </cell>
          <cell r="AB211">
            <v>5001148.1481481483</v>
          </cell>
          <cell r="AC211">
            <v>0</v>
          </cell>
          <cell r="AD211">
            <v>5001148.1481481483</v>
          </cell>
          <cell r="AF211">
            <v>350000</v>
          </cell>
          <cell r="AG211">
            <v>0</v>
          </cell>
          <cell r="AH211">
            <v>1110737.9010269174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N211">
            <v>1000000</v>
          </cell>
          <cell r="AP211">
            <v>0</v>
          </cell>
          <cell r="AQ211">
            <v>7461886</v>
          </cell>
          <cell r="AR211">
            <v>7461886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15500000</v>
          </cell>
          <cell r="AX211">
            <v>7461886</v>
          </cell>
          <cell r="AY211">
            <v>6407784.6454333281</v>
          </cell>
          <cell r="AZ211">
            <v>640778.46454333281</v>
          </cell>
          <cell r="BB211">
            <v>700000</v>
          </cell>
          <cell r="BC211">
            <v>1340778.4645433328</v>
          </cell>
          <cell r="BE211">
            <v>6121108</v>
          </cell>
          <cell r="BF211">
            <v>5121108</v>
          </cell>
          <cell r="BG211" t="str">
            <v>CK</v>
          </cell>
          <cell r="BH211">
            <v>8849049770</v>
          </cell>
          <cell r="BI211" t="str">
            <v>BIDV</v>
          </cell>
        </row>
        <row r="212">
          <cell r="L212">
            <v>52</v>
          </cell>
          <cell r="M212">
            <v>52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104</v>
          </cell>
          <cell r="U212">
            <v>21240000</v>
          </cell>
          <cell r="V212">
            <v>2800000</v>
          </cell>
          <cell r="W212">
            <v>900000</v>
          </cell>
          <cell r="X212">
            <v>0</v>
          </cell>
          <cell r="Y212">
            <v>400000</v>
          </cell>
          <cell r="Z212">
            <v>25340000</v>
          </cell>
          <cell r="AA212">
            <v>12634074.074074075</v>
          </cell>
          <cell r="AB212">
            <v>10002296.296296297</v>
          </cell>
          <cell r="AC212">
            <v>0</v>
          </cell>
          <cell r="AD212">
            <v>22636370.370370373</v>
          </cell>
          <cell r="AE212">
            <v>0</v>
          </cell>
          <cell r="AF212">
            <v>1400000</v>
          </cell>
          <cell r="AG212">
            <v>0</v>
          </cell>
          <cell r="AH212">
            <v>4862486.9081460126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P212">
            <v>0</v>
          </cell>
          <cell r="AQ212">
            <v>32898858</v>
          </cell>
          <cell r="AR212">
            <v>32898858</v>
          </cell>
          <cell r="AS212">
            <v>1115100</v>
          </cell>
          <cell r="AT212">
            <v>2283300</v>
          </cell>
          <cell r="AU212">
            <v>53100</v>
          </cell>
          <cell r="AV212">
            <v>212400</v>
          </cell>
          <cell r="AW212">
            <v>62000000</v>
          </cell>
          <cell r="AX212">
            <v>30398858</v>
          </cell>
          <cell r="AY212">
            <v>13729592.645433329</v>
          </cell>
          <cell r="AZ212">
            <v>1372959.4645433328</v>
          </cell>
          <cell r="BA212">
            <v>0</v>
          </cell>
          <cell r="BB212">
            <v>700000</v>
          </cell>
          <cell r="BC212">
            <v>3241159.4645433328</v>
          </cell>
          <cell r="BD212">
            <v>0</v>
          </cell>
          <cell r="BE212">
            <v>29657699</v>
          </cell>
          <cell r="BF212">
            <v>29657699</v>
          </cell>
        </row>
        <row r="213">
          <cell r="C213" t="str">
            <v>VB00662</v>
          </cell>
          <cell r="D213" t="str">
            <v>NGUYỄN VIỆT THẮNG</v>
          </cell>
          <cell r="E213" t="str">
            <v>NVBH</v>
          </cell>
          <cell r="F213" t="str">
            <v>Sơ cấp</v>
          </cell>
          <cell r="G213">
            <v>46085</v>
          </cell>
          <cell r="H213">
            <v>46146</v>
          </cell>
          <cell r="I213">
            <v>0</v>
          </cell>
          <cell r="J213" t="str">
            <v>Chính thức</v>
          </cell>
          <cell r="K213">
            <v>27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5310000</v>
          </cell>
          <cell r="V213">
            <v>700000</v>
          </cell>
          <cell r="W213">
            <v>170000</v>
          </cell>
          <cell r="Z213">
            <v>6180000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F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N213">
            <v>1000000</v>
          </cell>
          <cell r="AP213">
            <v>0</v>
          </cell>
          <cell r="AQ213">
            <v>1000000</v>
          </cell>
          <cell r="AR213">
            <v>1000000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15500000</v>
          </cell>
          <cell r="AX213">
            <v>130000</v>
          </cell>
          <cell r="AY213">
            <v>0</v>
          </cell>
          <cell r="AZ213">
            <v>0</v>
          </cell>
          <cell r="BC213">
            <v>0</v>
          </cell>
          <cell r="BE213">
            <v>1000000</v>
          </cell>
          <cell r="BF213">
            <v>0</v>
          </cell>
          <cell r="BG213" t="str">
            <v>CK</v>
          </cell>
          <cell r="BH213">
            <v>8848498750</v>
          </cell>
          <cell r="BI213" t="str">
            <v>BIDV</v>
          </cell>
          <cell r="BJ213">
            <v>46222</v>
          </cell>
        </row>
        <row r="214">
          <cell r="C214" t="str">
            <v>VB00692</v>
          </cell>
          <cell r="D214" t="str">
            <v>VÕ THỊ ANH ĐÀO</v>
          </cell>
          <cell r="E214" t="str">
            <v>TL.CHT</v>
          </cell>
          <cell r="F214" t="str">
            <v>Sơ cấp</v>
          </cell>
          <cell r="G214">
            <v>46143</v>
          </cell>
          <cell r="H214">
            <v>46204</v>
          </cell>
          <cell r="I214">
            <v>0</v>
          </cell>
          <cell r="J214" t="str">
            <v>Chính thức</v>
          </cell>
          <cell r="K214">
            <v>27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5310000</v>
          </cell>
          <cell r="V214">
            <v>700000</v>
          </cell>
          <cell r="W214">
            <v>1000000</v>
          </cell>
          <cell r="X214">
            <v>450000</v>
          </cell>
          <cell r="Y214">
            <v>400000</v>
          </cell>
          <cell r="Z214">
            <v>7860000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F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N214">
            <v>1000000</v>
          </cell>
          <cell r="AP214">
            <v>0</v>
          </cell>
          <cell r="AQ214">
            <v>1000000</v>
          </cell>
          <cell r="AR214">
            <v>1000000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15500000</v>
          </cell>
          <cell r="AX214">
            <v>-1100000</v>
          </cell>
          <cell r="AY214">
            <v>0</v>
          </cell>
          <cell r="AZ214">
            <v>0</v>
          </cell>
          <cell r="BB214">
            <v>600000</v>
          </cell>
          <cell r="BC214">
            <v>600000</v>
          </cell>
          <cell r="BE214">
            <v>400000</v>
          </cell>
          <cell r="BF214">
            <v>-600000</v>
          </cell>
          <cell r="BG214" t="str">
            <v>CK</v>
          </cell>
          <cell r="BH214">
            <v>8804533483</v>
          </cell>
          <cell r="BI214" t="str">
            <v>BIDV</v>
          </cell>
        </row>
        <row r="215">
          <cell r="C215" t="str">
            <v>VB00708</v>
          </cell>
          <cell r="D215" t="str">
            <v>TRẦN PHI HÙNG</v>
          </cell>
          <cell r="E215" t="str">
            <v>NVBH</v>
          </cell>
          <cell r="F215" t="str">
            <v>Sơ cấp</v>
          </cell>
          <cell r="G215">
            <v>46191</v>
          </cell>
          <cell r="H215">
            <v>46252</v>
          </cell>
          <cell r="I215">
            <v>0</v>
          </cell>
          <cell r="J215" t="str">
            <v>Thử việc</v>
          </cell>
          <cell r="K215">
            <v>27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5310000</v>
          </cell>
          <cell r="V215">
            <v>700000</v>
          </cell>
          <cell r="W215">
            <v>170000</v>
          </cell>
          <cell r="Z215">
            <v>6180000</v>
          </cell>
          <cell r="AA215">
            <v>0</v>
          </cell>
          <cell r="AB215">
            <v>0</v>
          </cell>
          <cell r="AD215">
            <v>0</v>
          </cell>
          <cell r="AF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N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15500000</v>
          </cell>
          <cell r="AX215">
            <v>0</v>
          </cell>
          <cell r="AY215">
            <v>0</v>
          </cell>
          <cell r="AZ215">
            <v>0</v>
          </cell>
          <cell r="BB215">
            <v>700000</v>
          </cell>
          <cell r="BC215">
            <v>700000</v>
          </cell>
          <cell r="BE215">
            <v>-700000</v>
          </cell>
          <cell r="BF215">
            <v>-700000</v>
          </cell>
          <cell r="BG215" t="str">
            <v>CK</v>
          </cell>
          <cell r="BH215">
            <v>8849350346</v>
          </cell>
          <cell r="BI215" t="str">
            <v>BIDV</v>
          </cell>
        </row>
        <row r="216">
          <cell r="C216" t="str">
            <v>VB00709</v>
          </cell>
          <cell r="D216" t="str">
            <v>NGỤY CẢNH BỘI</v>
          </cell>
          <cell r="E216" t="str">
            <v>NVBH</v>
          </cell>
          <cell r="F216" t="str">
            <v>Sơ cấp</v>
          </cell>
          <cell r="G216">
            <v>46191</v>
          </cell>
          <cell r="H216">
            <v>46252</v>
          </cell>
          <cell r="I216">
            <v>0</v>
          </cell>
          <cell r="J216" t="str">
            <v>Thử việc</v>
          </cell>
          <cell r="K216">
            <v>27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5310000</v>
          </cell>
          <cell r="V216">
            <v>700000</v>
          </cell>
          <cell r="W216">
            <v>170000</v>
          </cell>
          <cell r="Z216">
            <v>6180000</v>
          </cell>
          <cell r="AA216">
            <v>0</v>
          </cell>
          <cell r="AB216">
            <v>0</v>
          </cell>
          <cell r="AD216">
            <v>0</v>
          </cell>
          <cell r="AF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N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15500000</v>
          </cell>
          <cell r="AX216">
            <v>0</v>
          </cell>
          <cell r="AY216">
            <v>0</v>
          </cell>
          <cell r="AZ216">
            <v>0</v>
          </cell>
          <cell r="BC216">
            <v>0</v>
          </cell>
          <cell r="BE216">
            <v>0</v>
          </cell>
          <cell r="BF216">
            <v>0</v>
          </cell>
          <cell r="BG216" t="str">
            <v>CK</v>
          </cell>
          <cell r="BH216">
            <v>8886725973</v>
          </cell>
          <cell r="BI216" t="str">
            <v>BIDV</v>
          </cell>
          <cell r="BJ216">
            <v>46207</v>
          </cell>
        </row>
        <row r="217">
          <cell r="C217" t="str">
            <v>VB00712</v>
          </cell>
          <cell r="D217" t="str">
            <v>NGUYỄN THỊ NGỌC ÁNH</v>
          </cell>
          <cell r="E217" t="str">
            <v>NVBH</v>
          </cell>
          <cell r="F217" t="str">
            <v>Sơ cấp</v>
          </cell>
          <cell r="G217">
            <v>46204</v>
          </cell>
          <cell r="H217">
            <v>46265</v>
          </cell>
          <cell r="I217">
            <v>0</v>
          </cell>
          <cell r="J217" t="str">
            <v>Thử việc</v>
          </cell>
          <cell r="K217">
            <v>27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5310000</v>
          </cell>
          <cell r="V217">
            <v>700000</v>
          </cell>
          <cell r="W217">
            <v>170000</v>
          </cell>
          <cell r="Z217">
            <v>6180000</v>
          </cell>
          <cell r="AA217">
            <v>0</v>
          </cell>
          <cell r="AB217">
            <v>0</v>
          </cell>
          <cell r="AD217">
            <v>0</v>
          </cell>
          <cell r="AF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N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15500000</v>
          </cell>
          <cell r="AX217">
            <v>0</v>
          </cell>
          <cell r="AY217">
            <v>0</v>
          </cell>
          <cell r="AZ217">
            <v>0</v>
          </cell>
          <cell r="BB217">
            <v>700000</v>
          </cell>
          <cell r="BC217">
            <v>700000</v>
          </cell>
          <cell r="BE217">
            <v>-700000</v>
          </cell>
          <cell r="BF217">
            <v>-700000</v>
          </cell>
          <cell r="BG217" t="str">
            <v>CK</v>
          </cell>
          <cell r="BH217" t="e">
            <v>#N/A</v>
          </cell>
          <cell r="BI217" t="e">
            <v>#N/A</v>
          </cell>
        </row>
        <row r="218">
          <cell r="C218" t="str">
            <v>VB00713</v>
          </cell>
          <cell r="D218" t="str">
            <v>LÊ TRƯỜNG SA</v>
          </cell>
          <cell r="E218" t="str">
            <v>NVBH</v>
          </cell>
          <cell r="F218" t="str">
            <v>Sơ cấp</v>
          </cell>
          <cell r="G218">
            <v>46210</v>
          </cell>
          <cell r="H218">
            <v>46271</v>
          </cell>
          <cell r="I218">
            <v>0</v>
          </cell>
          <cell r="J218" t="str">
            <v>Thử việc</v>
          </cell>
          <cell r="K218">
            <v>27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5310000</v>
          </cell>
          <cell r="V218">
            <v>700000</v>
          </cell>
          <cell r="W218">
            <v>170000</v>
          </cell>
          <cell r="Z218">
            <v>6180000</v>
          </cell>
          <cell r="AA218">
            <v>0</v>
          </cell>
          <cell r="AB218">
            <v>0</v>
          </cell>
          <cell r="AD218">
            <v>0</v>
          </cell>
          <cell r="AF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N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15500000</v>
          </cell>
          <cell r="AX218">
            <v>0</v>
          </cell>
          <cell r="AY218">
            <v>0</v>
          </cell>
          <cell r="AZ218">
            <v>0</v>
          </cell>
          <cell r="BB218">
            <v>700000</v>
          </cell>
          <cell r="BC218">
            <v>700000</v>
          </cell>
          <cell r="BE218">
            <v>-700000</v>
          </cell>
          <cell r="BF218">
            <v>-700000</v>
          </cell>
          <cell r="BG218" t="str">
            <v>CK</v>
          </cell>
          <cell r="BH218" t="e">
            <v>#N/A</v>
          </cell>
          <cell r="BI218" t="e">
            <v>#N/A</v>
          </cell>
        </row>
        <row r="219">
          <cell r="C219" t="str">
            <v>VB00715</v>
          </cell>
          <cell r="D219" t="str">
            <v>TRẦN HOÀNG BẢO NGỌC</v>
          </cell>
          <cell r="E219" t="str">
            <v>NVBH</v>
          </cell>
          <cell r="F219" t="str">
            <v>Sơ cấp</v>
          </cell>
          <cell r="G219">
            <v>46229</v>
          </cell>
          <cell r="H219">
            <v>46290</v>
          </cell>
          <cell r="I219">
            <v>0</v>
          </cell>
          <cell r="J219" t="str">
            <v>Thử việc</v>
          </cell>
          <cell r="K219">
            <v>27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5310000</v>
          </cell>
          <cell r="V219">
            <v>700000</v>
          </cell>
          <cell r="W219">
            <v>170000</v>
          </cell>
          <cell r="Z219">
            <v>6180000</v>
          </cell>
          <cell r="AA219">
            <v>0</v>
          </cell>
          <cell r="AB219">
            <v>0</v>
          </cell>
          <cell r="AD219">
            <v>0</v>
          </cell>
          <cell r="AF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N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15500000</v>
          </cell>
          <cell r="AX219">
            <v>0</v>
          </cell>
          <cell r="AY219">
            <v>0</v>
          </cell>
          <cell r="AZ219">
            <v>0</v>
          </cell>
          <cell r="BC219">
            <v>0</v>
          </cell>
          <cell r="BE219">
            <v>0</v>
          </cell>
          <cell r="BF219">
            <v>0</v>
          </cell>
          <cell r="BG219" t="str">
            <v>CK</v>
          </cell>
          <cell r="BH219" t="e">
            <v>#N/A</v>
          </cell>
          <cell r="BI219" t="e">
            <v>#N/A</v>
          </cell>
        </row>
        <row r="220">
          <cell r="K220">
            <v>189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37170000</v>
          </cell>
          <cell r="V220">
            <v>4900000</v>
          </cell>
          <cell r="W220">
            <v>2020000</v>
          </cell>
          <cell r="X220">
            <v>450000</v>
          </cell>
          <cell r="Y220">
            <v>400000</v>
          </cell>
          <cell r="Z220">
            <v>44940000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2000000</v>
          </cell>
          <cell r="AR220">
            <v>2000000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108500000</v>
          </cell>
          <cell r="AX220">
            <v>-970000</v>
          </cell>
          <cell r="AY220">
            <v>0</v>
          </cell>
          <cell r="AZ220">
            <v>0</v>
          </cell>
          <cell r="BA220">
            <v>0</v>
          </cell>
          <cell r="BB220">
            <v>2700000</v>
          </cell>
          <cell r="BC220">
            <v>2700000</v>
          </cell>
          <cell r="BD220">
            <v>0</v>
          </cell>
          <cell r="BE220">
            <v>-700000</v>
          </cell>
          <cell r="BF220">
            <v>-2700000</v>
          </cell>
          <cell r="BG220" t="str">
            <v>CK</v>
          </cell>
        </row>
        <row r="221">
          <cell r="C221" t="str">
            <v>VB00618</v>
          </cell>
          <cell r="D221" t="str">
            <v>NGUYỄN HÔNG DIỆP VI</v>
          </cell>
          <cell r="E221" t="str">
            <v>TL.CHT</v>
          </cell>
          <cell r="G221">
            <v>45916</v>
          </cell>
          <cell r="H221">
            <v>45977</v>
          </cell>
          <cell r="I221">
            <v>0</v>
          </cell>
          <cell r="J221" t="str">
            <v>Chính thức</v>
          </cell>
          <cell r="K221">
            <v>27</v>
          </cell>
          <cell r="L221">
            <v>26</v>
          </cell>
          <cell r="M221">
            <v>0</v>
          </cell>
          <cell r="N221">
            <v>32</v>
          </cell>
          <cell r="O221">
            <v>0</v>
          </cell>
          <cell r="P221">
            <v>0</v>
          </cell>
          <cell r="Q221">
            <v>8</v>
          </cell>
          <cell r="R221">
            <v>0</v>
          </cell>
          <cell r="S221">
            <v>0</v>
          </cell>
          <cell r="T221">
            <v>26</v>
          </cell>
          <cell r="U221">
            <v>5310000</v>
          </cell>
          <cell r="V221">
            <v>700000</v>
          </cell>
          <cell r="W221">
            <v>600000</v>
          </cell>
          <cell r="Y221">
            <v>400000</v>
          </cell>
          <cell r="Z221">
            <v>7010000</v>
          </cell>
          <cell r="AA221">
            <v>6750370.3703703703</v>
          </cell>
          <cell r="AB221">
            <v>0</v>
          </cell>
          <cell r="AC221">
            <v>0</v>
          </cell>
          <cell r="AD221">
            <v>6750370.3703703703</v>
          </cell>
          <cell r="AF221">
            <v>350000</v>
          </cell>
          <cell r="AG221">
            <v>0</v>
          </cell>
          <cell r="AH221">
            <v>4204806.2978723412</v>
          </cell>
          <cell r="AI221">
            <v>1180000</v>
          </cell>
          <cell r="AJ221">
            <v>0</v>
          </cell>
          <cell r="AK221">
            <v>0</v>
          </cell>
          <cell r="AL221">
            <v>393333.33333333331</v>
          </cell>
          <cell r="AN221">
            <v>1000000</v>
          </cell>
          <cell r="AP221">
            <v>0</v>
          </cell>
          <cell r="AQ221">
            <v>13878510</v>
          </cell>
          <cell r="AR221">
            <v>13878510</v>
          </cell>
          <cell r="AS221">
            <v>557550</v>
          </cell>
          <cell r="AT221">
            <v>1141650</v>
          </cell>
          <cell r="AU221">
            <v>26550</v>
          </cell>
          <cell r="AV221">
            <v>106200</v>
          </cell>
          <cell r="AW221">
            <v>15500000</v>
          </cell>
          <cell r="AX221">
            <v>10605177</v>
          </cell>
          <cell r="AY221">
            <v>0</v>
          </cell>
          <cell r="AZ221">
            <v>0</v>
          </cell>
          <cell r="BC221">
            <v>584100</v>
          </cell>
          <cell r="BE221">
            <v>13294410</v>
          </cell>
          <cell r="BF221">
            <v>12294410</v>
          </cell>
          <cell r="BG221" t="str">
            <v>CK</v>
          </cell>
          <cell r="BH221">
            <v>8806378816</v>
          </cell>
          <cell r="BI221" t="str">
            <v>BIDV</v>
          </cell>
        </row>
        <row r="222">
          <cell r="C222" t="str">
            <v>VB00642</v>
          </cell>
          <cell r="D222" t="str">
            <v>NGUYỄN THỊ TRÚC NHI</v>
          </cell>
          <cell r="E222" t="str">
            <v>NVBH</v>
          </cell>
          <cell r="F222" t="str">
            <v>Trung cấp</v>
          </cell>
          <cell r="G222">
            <v>45999</v>
          </cell>
          <cell r="H222">
            <v>46060</v>
          </cell>
          <cell r="I222">
            <v>0</v>
          </cell>
          <cell r="J222" t="str">
            <v>Chính thức</v>
          </cell>
          <cell r="K222">
            <v>27</v>
          </cell>
          <cell r="L222">
            <v>26</v>
          </cell>
          <cell r="M222">
            <v>0</v>
          </cell>
          <cell r="N222">
            <v>6.5</v>
          </cell>
          <cell r="O222">
            <v>0</v>
          </cell>
          <cell r="P222">
            <v>0</v>
          </cell>
          <cell r="Q222">
            <v>8</v>
          </cell>
          <cell r="R222">
            <v>0</v>
          </cell>
          <cell r="S222">
            <v>0</v>
          </cell>
          <cell r="T222">
            <v>26</v>
          </cell>
          <cell r="U222">
            <v>5310000</v>
          </cell>
          <cell r="V222">
            <v>700000</v>
          </cell>
          <cell r="W222">
            <v>200000</v>
          </cell>
          <cell r="X222">
            <v>0</v>
          </cell>
          <cell r="Y222">
            <v>0</v>
          </cell>
          <cell r="Z222">
            <v>6210000</v>
          </cell>
          <cell r="AA222">
            <v>5980000</v>
          </cell>
          <cell r="AB222">
            <v>0</v>
          </cell>
          <cell r="AC222">
            <v>0</v>
          </cell>
          <cell r="AD222">
            <v>5980000</v>
          </cell>
          <cell r="AF222">
            <v>350000</v>
          </cell>
          <cell r="AG222">
            <v>0</v>
          </cell>
          <cell r="AH222">
            <v>2914581.4121237686</v>
          </cell>
          <cell r="AI222">
            <v>239687.5</v>
          </cell>
          <cell r="AJ222">
            <v>0</v>
          </cell>
          <cell r="AK222">
            <v>0</v>
          </cell>
          <cell r="AL222">
            <v>393333.33333333331</v>
          </cell>
          <cell r="AN222">
            <v>1000000</v>
          </cell>
          <cell r="AP222">
            <v>0</v>
          </cell>
          <cell r="AQ222">
            <v>10877602</v>
          </cell>
          <cell r="AR222">
            <v>10877602</v>
          </cell>
          <cell r="AS222">
            <v>557550</v>
          </cell>
          <cell r="AT222">
            <v>1141650</v>
          </cell>
          <cell r="AU222">
            <v>26550</v>
          </cell>
          <cell r="AV222">
            <v>106200</v>
          </cell>
          <cell r="AW222">
            <v>15500000</v>
          </cell>
          <cell r="AX222">
            <v>9344581</v>
          </cell>
          <cell r="AY222">
            <v>0</v>
          </cell>
          <cell r="AZ222">
            <v>0</v>
          </cell>
          <cell r="BC222">
            <v>584100</v>
          </cell>
          <cell r="BE222">
            <v>10293502</v>
          </cell>
          <cell r="BF222">
            <v>9293502</v>
          </cell>
          <cell r="BG222" t="str">
            <v>CK</v>
          </cell>
          <cell r="BH222">
            <v>8867471987</v>
          </cell>
          <cell r="BI222" t="str">
            <v>BIDV</v>
          </cell>
        </row>
        <row r="223">
          <cell r="C223" t="str">
            <v>VB00644</v>
          </cell>
          <cell r="D223" t="str">
            <v>NGUYỄN LÊ THỊNH</v>
          </cell>
          <cell r="E223" t="str">
            <v>NVBH</v>
          </cell>
          <cell r="F223" t="str">
            <v>Sơ cấp</v>
          </cell>
          <cell r="G223">
            <v>46000</v>
          </cell>
          <cell r="H223">
            <v>46061</v>
          </cell>
          <cell r="I223">
            <v>0</v>
          </cell>
          <cell r="J223" t="str">
            <v>Chính thức</v>
          </cell>
          <cell r="K223">
            <v>27</v>
          </cell>
          <cell r="L223">
            <v>26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8</v>
          </cell>
          <cell r="R223">
            <v>0</v>
          </cell>
          <cell r="S223">
            <v>0</v>
          </cell>
          <cell r="T223">
            <v>26</v>
          </cell>
          <cell r="U223">
            <v>5310000</v>
          </cell>
          <cell r="V223">
            <v>700000</v>
          </cell>
          <cell r="W223">
            <v>100000</v>
          </cell>
          <cell r="X223">
            <v>0</v>
          </cell>
          <cell r="Y223">
            <v>0</v>
          </cell>
          <cell r="Z223">
            <v>6110000</v>
          </cell>
          <cell r="AA223">
            <v>5883703.7037037034</v>
          </cell>
          <cell r="AB223">
            <v>0</v>
          </cell>
          <cell r="AC223">
            <v>0</v>
          </cell>
          <cell r="AD223">
            <v>5883703.7037037034</v>
          </cell>
          <cell r="AF223">
            <v>350000</v>
          </cell>
          <cell r="AG223">
            <v>0</v>
          </cell>
          <cell r="AH223">
            <v>2626479.5387045396</v>
          </cell>
          <cell r="AI223">
            <v>0</v>
          </cell>
          <cell r="AJ223">
            <v>0</v>
          </cell>
          <cell r="AK223">
            <v>0</v>
          </cell>
          <cell r="AL223">
            <v>393333.33333333331</v>
          </cell>
          <cell r="AN223">
            <v>1000000</v>
          </cell>
          <cell r="AP223">
            <v>0</v>
          </cell>
          <cell r="AQ223">
            <v>10253517</v>
          </cell>
          <cell r="AR223">
            <v>10253517</v>
          </cell>
          <cell r="AS223">
            <v>557550</v>
          </cell>
          <cell r="AT223">
            <v>1141650</v>
          </cell>
          <cell r="AU223">
            <v>26550</v>
          </cell>
          <cell r="AV223">
            <v>106200</v>
          </cell>
          <cell r="AW223">
            <v>15500000</v>
          </cell>
          <cell r="AX223">
            <v>9060184</v>
          </cell>
          <cell r="AY223">
            <v>0</v>
          </cell>
          <cell r="AZ223">
            <v>0</v>
          </cell>
          <cell r="BC223">
            <v>584100</v>
          </cell>
          <cell r="BE223">
            <v>9669417</v>
          </cell>
          <cell r="BF223">
            <v>8669417</v>
          </cell>
          <cell r="BG223" t="str">
            <v>CK</v>
          </cell>
          <cell r="BH223">
            <v>8881829650</v>
          </cell>
          <cell r="BI223" t="str">
            <v>BIDV</v>
          </cell>
        </row>
        <row r="224">
          <cell r="C224" t="str">
            <v>VB00670</v>
          </cell>
          <cell r="D224" t="str">
            <v>NGUYỄN THỊ ĐOAN TRANG</v>
          </cell>
          <cell r="E224" t="str">
            <v>NVBH</v>
          </cell>
          <cell r="F224" t="str">
            <v>Sơ cấp</v>
          </cell>
          <cell r="G224">
            <v>46101</v>
          </cell>
          <cell r="H224">
            <v>46162</v>
          </cell>
          <cell r="I224">
            <v>0</v>
          </cell>
          <cell r="J224" t="str">
            <v>Chính thức</v>
          </cell>
          <cell r="K224">
            <v>27</v>
          </cell>
          <cell r="L224">
            <v>26</v>
          </cell>
          <cell r="M224">
            <v>0</v>
          </cell>
          <cell r="N224">
            <v>2</v>
          </cell>
          <cell r="O224">
            <v>0</v>
          </cell>
          <cell r="P224">
            <v>0</v>
          </cell>
          <cell r="Q224">
            <v>8</v>
          </cell>
          <cell r="R224">
            <v>0</v>
          </cell>
          <cell r="S224">
            <v>0</v>
          </cell>
          <cell r="T224">
            <v>26</v>
          </cell>
          <cell r="U224">
            <v>5310000</v>
          </cell>
          <cell r="V224">
            <v>700000</v>
          </cell>
          <cell r="W224">
            <v>100000</v>
          </cell>
          <cell r="X224">
            <v>0</v>
          </cell>
          <cell r="Y224">
            <v>0</v>
          </cell>
          <cell r="Z224">
            <v>6110000</v>
          </cell>
          <cell r="AA224">
            <v>5883703.7037037034</v>
          </cell>
          <cell r="AB224">
            <v>0</v>
          </cell>
          <cell r="AC224">
            <v>0</v>
          </cell>
          <cell r="AD224">
            <v>5883703.7037037034</v>
          </cell>
          <cell r="AF224">
            <v>350000</v>
          </cell>
          <cell r="AG224">
            <v>0</v>
          </cell>
          <cell r="AH224">
            <v>2569745.4452366093</v>
          </cell>
          <cell r="AI224">
            <v>73750</v>
          </cell>
          <cell r="AJ224">
            <v>0</v>
          </cell>
          <cell r="AK224">
            <v>0</v>
          </cell>
          <cell r="AL224">
            <v>393333.33333333331</v>
          </cell>
          <cell r="AN224">
            <v>1000000</v>
          </cell>
          <cell r="AP224">
            <v>0</v>
          </cell>
          <cell r="AQ224">
            <v>10270532</v>
          </cell>
          <cell r="AR224">
            <v>10270532</v>
          </cell>
          <cell r="AS224">
            <v>557550</v>
          </cell>
          <cell r="AT224">
            <v>1141650</v>
          </cell>
          <cell r="AU224">
            <v>26550</v>
          </cell>
          <cell r="AV224">
            <v>106200</v>
          </cell>
          <cell r="AW224">
            <v>15500000</v>
          </cell>
          <cell r="AX224">
            <v>9003449</v>
          </cell>
          <cell r="AY224">
            <v>0</v>
          </cell>
          <cell r="AZ224">
            <v>0</v>
          </cell>
          <cell r="BC224">
            <v>584100</v>
          </cell>
          <cell r="BE224">
            <v>9686432</v>
          </cell>
          <cell r="BF224">
            <v>8686432</v>
          </cell>
          <cell r="BG224" t="str">
            <v>CK</v>
          </cell>
          <cell r="BH224">
            <v>8808275017</v>
          </cell>
          <cell r="BI224" t="str">
            <v>BIDV</v>
          </cell>
        </row>
        <row r="225">
          <cell r="C225" t="str">
            <v>VB00691</v>
          </cell>
          <cell r="D225" t="str">
            <v>NGUYỄN CÔNG DANH</v>
          </cell>
          <cell r="E225" t="str">
            <v>NVBH</v>
          </cell>
          <cell r="F225" t="str">
            <v>Sơ cấp</v>
          </cell>
          <cell r="G225">
            <v>46143</v>
          </cell>
          <cell r="H225">
            <v>46204</v>
          </cell>
          <cell r="I225">
            <v>0</v>
          </cell>
          <cell r="J225" t="str">
            <v>Chính thức</v>
          </cell>
          <cell r="K225">
            <v>27</v>
          </cell>
          <cell r="L225">
            <v>0</v>
          </cell>
          <cell r="M225">
            <v>26</v>
          </cell>
          <cell r="N225">
            <v>0</v>
          </cell>
          <cell r="O225">
            <v>0</v>
          </cell>
          <cell r="P225">
            <v>0</v>
          </cell>
          <cell r="Q225">
            <v>8</v>
          </cell>
          <cell r="R225">
            <v>0</v>
          </cell>
          <cell r="S225">
            <v>0</v>
          </cell>
          <cell r="T225">
            <v>26</v>
          </cell>
          <cell r="U225">
            <v>5310000</v>
          </cell>
          <cell r="V225">
            <v>700000</v>
          </cell>
          <cell r="W225">
            <v>100000</v>
          </cell>
          <cell r="X225">
            <v>0</v>
          </cell>
          <cell r="Y225">
            <v>0</v>
          </cell>
          <cell r="Z225">
            <v>6110000</v>
          </cell>
          <cell r="AA225">
            <v>0</v>
          </cell>
          <cell r="AB225">
            <v>5001148.1481481483</v>
          </cell>
          <cell r="AC225">
            <v>0</v>
          </cell>
          <cell r="AD225">
            <v>5001148.1481481483</v>
          </cell>
          <cell r="AF225">
            <v>350000</v>
          </cell>
          <cell r="AG225">
            <v>0</v>
          </cell>
          <cell r="AH225">
            <v>2751045.4839178515</v>
          </cell>
          <cell r="AI225">
            <v>0</v>
          </cell>
          <cell r="AJ225">
            <v>0</v>
          </cell>
          <cell r="AK225">
            <v>0</v>
          </cell>
          <cell r="AL225">
            <v>393333.33333333331</v>
          </cell>
          <cell r="AN225">
            <v>1000000</v>
          </cell>
          <cell r="AP225">
            <v>0</v>
          </cell>
          <cell r="AQ225">
            <v>9495527</v>
          </cell>
          <cell r="AR225">
            <v>9495527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15500000</v>
          </cell>
          <cell r="AX225">
            <v>8302194</v>
          </cell>
          <cell r="AY225">
            <v>0</v>
          </cell>
          <cell r="AZ225">
            <v>0</v>
          </cell>
          <cell r="BB225">
            <v>600000</v>
          </cell>
          <cell r="BC225">
            <v>600000</v>
          </cell>
          <cell r="BE225">
            <v>8895527</v>
          </cell>
          <cell r="BF225">
            <v>7895527</v>
          </cell>
          <cell r="BG225" t="str">
            <v>CK</v>
          </cell>
          <cell r="BH225">
            <v>8848896025</v>
          </cell>
          <cell r="BI225" t="str">
            <v>BIDV</v>
          </cell>
        </row>
        <row r="226">
          <cell r="K226">
            <v>135</v>
          </cell>
          <cell r="L226">
            <v>104</v>
          </cell>
          <cell r="M226">
            <v>26</v>
          </cell>
          <cell r="N226">
            <v>40.5</v>
          </cell>
          <cell r="O226">
            <v>0</v>
          </cell>
          <cell r="P226">
            <v>0</v>
          </cell>
          <cell r="Q226">
            <v>40</v>
          </cell>
          <cell r="R226">
            <v>0</v>
          </cell>
          <cell r="S226">
            <v>0</v>
          </cell>
          <cell r="T226">
            <v>130</v>
          </cell>
          <cell r="U226">
            <v>26550000</v>
          </cell>
          <cell r="V226">
            <v>3500000</v>
          </cell>
          <cell r="W226">
            <v>1100000</v>
          </cell>
          <cell r="X226">
            <v>0</v>
          </cell>
          <cell r="Y226">
            <v>400000</v>
          </cell>
          <cell r="Z226">
            <v>31550000</v>
          </cell>
          <cell r="AA226">
            <v>24497777.777777776</v>
          </cell>
          <cell r="AB226">
            <v>5001148.1481481483</v>
          </cell>
          <cell r="AC226">
            <v>0</v>
          </cell>
          <cell r="AD226">
            <v>29498925.925925925</v>
          </cell>
          <cell r="AE226">
            <v>0</v>
          </cell>
          <cell r="AF226">
            <v>1750000</v>
          </cell>
          <cell r="AG226">
            <v>0</v>
          </cell>
          <cell r="AH226">
            <v>15066658.177855108</v>
          </cell>
          <cell r="AI226">
            <v>1493437.5</v>
          </cell>
          <cell r="AJ226">
            <v>0</v>
          </cell>
          <cell r="AK226">
            <v>0</v>
          </cell>
          <cell r="AL226">
            <v>1966666.6666666665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54775688</v>
          </cell>
          <cell r="AR226">
            <v>54775688</v>
          </cell>
          <cell r="AS226">
            <v>2230200</v>
          </cell>
          <cell r="AT226">
            <v>4566600</v>
          </cell>
          <cell r="AU226">
            <v>106200</v>
          </cell>
          <cell r="AV226">
            <v>424800</v>
          </cell>
          <cell r="AW226">
            <v>77500000</v>
          </cell>
          <cell r="AX226">
            <v>46315585</v>
          </cell>
          <cell r="AY226">
            <v>0</v>
          </cell>
          <cell r="AZ226">
            <v>0</v>
          </cell>
          <cell r="BA226">
            <v>0</v>
          </cell>
          <cell r="BB226">
            <v>600000</v>
          </cell>
          <cell r="BC226">
            <v>2936400</v>
          </cell>
          <cell r="BD226">
            <v>0</v>
          </cell>
          <cell r="BE226">
            <v>51839288</v>
          </cell>
          <cell r="BF226">
            <v>51839288</v>
          </cell>
        </row>
        <row r="227">
          <cell r="C227" t="str">
            <v>VB00645</v>
          </cell>
          <cell r="D227" t="str">
            <v>LƯU THỊ MỸ NGA</v>
          </cell>
          <cell r="E227" t="str">
            <v>CHT</v>
          </cell>
          <cell r="F227" t="str">
            <v>Sơ cấp</v>
          </cell>
          <cell r="G227">
            <v>46007</v>
          </cell>
          <cell r="H227">
            <v>46068</v>
          </cell>
          <cell r="I227">
            <v>0</v>
          </cell>
          <cell r="J227" t="str">
            <v>Chính thức</v>
          </cell>
          <cell r="K227">
            <v>27</v>
          </cell>
          <cell r="L227">
            <v>26</v>
          </cell>
          <cell r="M227">
            <v>0</v>
          </cell>
          <cell r="N227">
            <v>15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26</v>
          </cell>
          <cell r="U227">
            <v>5860000</v>
          </cell>
          <cell r="V227">
            <v>700000</v>
          </cell>
          <cell r="W227">
            <v>300000</v>
          </cell>
          <cell r="X227" t="str">
            <v>-</v>
          </cell>
          <cell r="Y227">
            <v>400000</v>
          </cell>
          <cell r="Z227">
            <v>7260000</v>
          </cell>
          <cell r="AA227">
            <v>6991111.111111111</v>
          </cell>
          <cell r="AB227">
            <v>0</v>
          </cell>
          <cell r="AC227">
            <v>0</v>
          </cell>
          <cell r="AD227">
            <v>6991111.111111111</v>
          </cell>
          <cell r="AF227">
            <v>350000</v>
          </cell>
          <cell r="AG227">
            <v>950000</v>
          </cell>
          <cell r="AH227">
            <v>3187168.7586206896</v>
          </cell>
          <cell r="AI227">
            <v>610416.66666666674</v>
          </cell>
          <cell r="AJ227">
            <v>0</v>
          </cell>
          <cell r="AK227">
            <v>0</v>
          </cell>
          <cell r="AL227">
            <v>0</v>
          </cell>
          <cell r="AN227">
            <v>0</v>
          </cell>
          <cell r="AP227">
            <v>0</v>
          </cell>
          <cell r="AQ227">
            <v>12088697</v>
          </cell>
          <cell r="AR227">
            <v>12088697</v>
          </cell>
          <cell r="AS227">
            <v>615300</v>
          </cell>
          <cell r="AT227">
            <v>1259900</v>
          </cell>
          <cell r="AU227">
            <v>29300</v>
          </cell>
          <cell r="AV227">
            <v>117200</v>
          </cell>
          <cell r="AW227">
            <v>15500000</v>
          </cell>
          <cell r="AX227">
            <v>10078280</v>
          </cell>
          <cell r="AY227">
            <v>0</v>
          </cell>
          <cell r="AZ227">
            <v>0</v>
          </cell>
          <cell r="BC227">
            <v>644600</v>
          </cell>
          <cell r="BE227">
            <v>11444097</v>
          </cell>
          <cell r="BF227">
            <v>11444097</v>
          </cell>
          <cell r="BG227" t="str">
            <v>CK</v>
          </cell>
          <cell r="BH227">
            <v>8847474228</v>
          </cell>
          <cell r="BI227" t="str">
            <v>BIDV</v>
          </cell>
        </row>
        <row r="228">
          <cell r="C228" t="str">
            <v>VB00658</v>
          </cell>
          <cell r="D228" t="str">
            <v>LÊ XUÂN ĐÔNG</v>
          </cell>
          <cell r="E228" t="str">
            <v>NVBH</v>
          </cell>
          <cell r="F228" t="str">
            <v>Sơ cấp</v>
          </cell>
          <cell r="G228">
            <v>46080</v>
          </cell>
          <cell r="H228">
            <v>46141</v>
          </cell>
          <cell r="I228">
            <v>0</v>
          </cell>
          <cell r="J228" t="str">
            <v>Chính thức</v>
          </cell>
          <cell r="K228">
            <v>27</v>
          </cell>
          <cell r="L228">
            <v>26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26</v>
          </cell>
          <cell r="U228">
            <v>5310000</v>
          </cell>
          <cell r="V228">
            <v>700000</v>
          </cell>
          <cell r="W228">
            <v>100000</v>
          </cell>
          <cell r="X228">
            <v>0</v>
          </cell>
          <cell r="Y228">
            <v>0</v>
          </cell>
          <cell r="Z228">
            <v>6110000</v>
          </cell>
          <cell r="AA228">
            <v>5883703.7037037034</v>
          </cell>
          <cell r="AB228">
            <v>0</v>
          </cell>
          <cell r="AC228">
            <v>0</v>
          </cell>
          <cell r="AD228">
            <v>5883703.7037037034</v>
          </cell>
          <cell r="AF228">
            <v>0</v>
          </cell>
          <cell r="AG228">
            <v>650000</v>
          </cell>
          <cell r="AH228">
            <v>1698679.6689655173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N228">
            <v>0</v>
          </cell>
          <cell r="AP228">
            <v>0</v>
          </cell>
          <cell r="AQ228">
            <v>8232383</v>
          </cell>
          <cell r="AR228">
            <v>8232383</v>
          </cell>
          <cell r="AS228">
            <v>557550</v>
          </cell>
          <cell r="AT228">
            <v>1141650</v>
          </cell>
          <cell r="AU228">
            <v>26550</v>
          </cell>
          <cell r="AV228">
            <v>106200</v>
          </cell>
          <cell r="AW228">
            <v>15500000</v>
          </cell>
          <cell r="AX228">
            <v>7432383</v>
          </cell>
          <cell r="AY228">
            <v>0</v>
          </cell>
          <cell r="AZ228">
            <v>0</v>
          </cell>
          <cell r="BC228">
            <v>584100</v>
          </cell>
          <cell r="BE228">
            <v>7648283</v>
          </cell>
          <cell r="BF228">
            <v>7648283</v>
          </cell>
          <cell r="BG228" t="str">
            <v>CK</v>
          </cell>
          <cell r="BH228">
            <v>8878113651</v>
          </cell>
          <cell r="BI228" t="str">
            <v>BIDV</v>
          </cell>
        </row>
        <row r="229">
          <cell r="C229" t="str">
            <v>VB00685</v>
          </cell>
          <cell r="D229" t="str">
            <v>NGUYỄN BÁ LỘC</v>
          </cell>
          <cell r="E229" t="str">
            <v>NVBH</v>
          </cell>
          <cell r="F229" t="str">
            <v>Sơ cấp</v>
          </cell>
          <cell r="G229">
            <v>46131</v>
          </cell>
          <cell r="H229">
            <v>46192</v>
          </cell>
          <cell r="I229">
            <v>0</v>
          </cell>
          <cell r="J229" t="str">
            <v>Chính thức</v>
          </cell>
          <cell r="K229">
            <v>27</v>
          </cell>
          <cell r="L229">
            <v>11</v>
          </cell>
          <cell r="M229">
            <v>15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26</v>
          </cell>
          <cell r="U229">
            <v>5310000</v>
          </cell>
          <cell r="V229">
            <v>700000</v>
          </cell>
          <cell r="W229">
            <v>100000</v>
          </cell>
          <cell r="X229">
            <v>0</v>
          </cell>
          <cell r="Y229">
            <v>0</v>
          </cell>
          <cell r="Z229">
            <v>6110000</v>
          </cell>
          <cell r="AA229">
            <v>2489259.2592592593</v>
          </cell>
          <cell r="AB229">
            <v>3394444.4444444445</v>
          </cell>
          <cell r="AC229">
            <v>0</v>
          </cell>
          <cell r="AD229">
            <v>5883703.7037037034</v>
          </cell>
          <cell r="AF229">
            <v>350000</v>
          </cell>
          <cell r="AG229">
            <v>600000</v>
          </cell>
          <cell r="AH229">
            <v>1811606.0248275863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N229">
            <v>0</v>
          </cell>
          <cell r="AP229">
            <v>0</v>
          </cell>
          <cell r="AQ229">
            <v>8645310</v>
          </cell>
          <cell r="AR229">
            <v>8645310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15500000</v>
          </cell>
          <cell r="AX229">
            <v>7845310</v>
          </cell>
          <cell r="AY229">
            <v>0</v>
          </cell>
          <cell r="AZ229">
            <v>0</v>
          </cell>
          <cell r="BB229">
            <v>700000</v>
          </cell>
          <cell r="BC229">
            <v>700000</v>
          </cell>
          <cell r="BE229">
            <v>7945310</v>
          </cell>
          <cell r="BF229">
            <v>7945310</v>
          </cell>
          <cell r="BG229" t="str">
            <v>CK</v>
          </cell>
          <cell r="BH229">
            <v>8818769182</v>
          </cell>
          <cell r="BI229" t="str">
            <v>BIDV</v>
          </cell>
        </row>
        <row r="230">
          <cell r="C230" t="str">
            <v>VBP00021</v>
          </cell>
          <cell r="D230" t="str">
            <v>NGUYỄN THỊ KHÁNH LINH</v>
          </cell>
          <cell r="E230" t="str">
            <v>NVBH</v>
          </cell>
          <cell r="F230" t="str">
            <v>PART</v>
          </cell>
          <cell r="G230">
            <v>46168</v>
          </cell>
          <cell r="H230">
            <v>46168</v>
          </cell>
          <cell r="I230">
            <v>0</v>
          </cell>
          <cell r="J230" t="str">
            <v>Thời vụ</v>
          </cell>
          <cell r="K230">
            <v>27</v>
          </cell>
          <cell r="L230">
            <v>27.125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27.125</v>
          </cell>
          <cell r="U230">
            <v>266666.66666666669</v>
          </cell>
          <cell r="Z230">
            <v>266666.66666666669</v>
          </cell>
          <cell r="AA230">
            <v>7233333.333333334</v>
          </cell>
          <cell r="AB230">
            <v>0</v>
          </cell>
          <cell r="AC230">
            <v>0</v>
          </cell>
          <cell r="AD230">
            <v>7233333.333333334</v>
          </cell>
          <cell r="AF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N230">
            <v>0</v>
          </cell>
          <cell r="AP230">
            <v>0</v>
          </cell>
          <cell r="AQ230">
            <v>7233333</v>
          </cell>
          <cell r="AR230">
            <v>7233333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7233333</v>
          </cell>
          <cell r="AY230">
            <v>7233333</v>
          </cell>
          <cell r="AZ230">
            <v>723333.3</v>
          </cell>
          <cell r="BC230">
            <v>723333.3</v>
          </cell>
          <cell r="BE230">
            <v>6510000</v>
          </cell>
          <cell r="BF230">
            <v>6510000</v>
          </cell>
          <cell r="BG230" t="str">
            <v>CK</v>
          </cell>
          <cell r="BH230">
            <v>8829090103</v>
          </cell>
          <cell r="BI230" t="str">
            <v>BIDV</v>
          </cell>
        </row>
        <row r="231">
          <cell r="L231">
            <v>90.125</v>
          </cell>
          <cell r="M231">
            <v>15</v>
          </cell>
          <cell r="N231">
            <v>15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105.125</v>
          </cell>
          <cell r="U231">
            <v>16746666.666666666</v>
          </cell>
          <cell r="V231">
            <v>2100000</v>
          </cell>
          <cell r="W231">
            <v>500000</v>
          </cell>
          <cell r="X231">
            <v>0</v>
          </cell>
          <cell r="Y231">
            <v>400000</v>
          </cell>
          <cell r="Z231">
            <v>19746666.666666668</v>
          </cell>
          <cell r="AA231">
            <v>22597407.407407407</v>
          </cell>
          <cell r="AB231">
            <v>3394444.4444444445</v>
          </cell>
          <cell r="AC231">
            <v>0</v>
          </cell>
          <cell r="AD231">
            <v>25991851.851851851</v>
          </cell>
          <cell r="AE231">
            <v>0</v>
          </cell>
          <cell r="AF231">
            <v>700000</v>
          </cell>
          <cell r="AG231">
            <v>2200000</v>
          </cell>
          <cell r="AH231">
            <v>6697454.4524137937</v>
          </cell>
          <cell r="AI231">
            <v>610416.66666666674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P231">
            <v>0</v>
          </cell>
          <cell r="AQ231">
            <v>36199723</v>
          </cell>
          <cell r="AR231">
            <v>36199723</v>
          </cell>
          <cell r="AS231">
            <v>1172850</v>
          </cell>
          <cell r="AT231">
            <v>2401550</v>
          </cell>
          <cell r="AU231">
            <v>55850</v>
          </cell>
          <cell r="AV231">
            <v>223400</v>
          </cell>
          <cell r="AW231">
            <v>46500000</v>
          </cell>
          <cell r="AX231">
            <v>32589306</v>
          </cell>
          <cell r="AY231">
            <v>7233333</v>
          </cell>
          <cell r="AZ231">
            <v>723333.3</v>
          </cell>
          <cell r="BA231">
            <v>0</v>
          </cell>
          <cell r="BB231">
            <v>700000</v>
          </cell>
          <cell r="BC231">
            <v>2652033.2999999998</v>
          </cell>
          <cell r="BD231">
            <v>0</v>
          </cell>
          <cell r="BE231">
            <v>33547690</v>
          </cell>
          <cell r="BF231">
            <v>33547690</v>
          </cell>
        </row>
        <row r="237">
          <cell r="C237" t="str">
            <v>VB00001</v>
          </cell>
          <cell r="D237" t="str">
            <v>NGUYỄN THỊ BẮC</v>
          </cell>
          <cell r="E237" t="str">
            <v>PP.HTBL</v>
          </cell>
          <cell r="F237" t="str">
            <v>S4</v>
          </cell>
          <cell r="G237">
            <v>43654</v>
          </cell>
          <cell r="H237">
            <v>43654</v>
          </cell>
          <cell r="I237">
            <v>7</v>
          </cell>
          <cell r="J237" t="str">
            <v>Chính thức</v>
          </cell>
          <cell r="K237">
            <v>25</v>
          </cell>
          <cell r="L237">
            <v>24</v>
          </cell>
          <cell r="M237">
            <v>0</v>
          </cell>
          <cell r="T237">
            <v>24</v>
          </cell>
          <cell r="U237">
            <v>13870000</v>
          </cell>
          <cell r="V237">
            <v>730000</v>
          </cell>
          <cell r="W237">
            <v>3500000</v>
          </cell>
          <cell r="X237">
            <v>3500000</v>
          </cell>
          <cell r="Y237">
            <v>400000</v>
          </cell>
          <cell r="Z237">
            <v>22000000</v>
          </cell>
          <cell r="AA237">
            <v>21120000</v>
          </cell>
          <cell r="AB237">
            <v>0</v>
          </cell>
          <cell r="AC237">
            <v>0</v>
          </cell>
          <cell r="AD237">
            <v>21120000</v>
          </cell>
          <cell r="AF237">
            <v>0</v>
          </cell>
          <cell r="AH237">
            <v>3500000</v>
          </cell>
          <cell r="AN237">
            <v>0</v>
          </cell>
          <cell r="AP237">
            <v>0</v>
          </cell>
          <cell r="AQ237">
            <v>24620000</v>
          </cell>
          <cell r="AR237">
            <v>24620000</v>
          </cell>
          <cell r="AS237">
            <v>1456350</v>
          </cell>
          <cell r="AT237">
            <v>2982050</v>
          </cell>
          <cell r="AU237">
            <v>69350</v>
          </cell>
          <cell r="AV237">
            <v>277400</v>
          </cell>
          <cell r="AW237">
            <v>27900000</v>
          </cell>
          <cell r="AX237">
            <v>19990000</v>
          </cell>
          <cell r="AY237">
            <v>0</v>
          </cell>
          <cell r="AZ237">
            <v>0</v>
          </cell>
          <cell r="BC237">
            <v>1525700</v>
          </cell>
          <cell r="BE237">
            <v>23094300</v>
          </cell>
          <cell r="BF237">
            <v>23094300</v>
          </cell>
          <cell r="BG237" t="str">
            <v>CK</v>
          </cell>
          <cell r="BH237" t="str">
            <v>2130741179</v>
          </cell>
          <cell r="BI237" t="str">
            <v>Ngân hàng TMCP Đầu tư và Phát triển  Việt Nam (BIDV)</v>
          </cell>
          <cell r="BK237" t="str">
            <v>thibac.nguyen@xtep.com</v>
          </cell>
        </row>
        <row r="238">
          <cell r="C238" t="str">
            <v>VB00028</v>
          </cell>
          <cell r="D238" t="str">
            <v>ĐỖ VIẾT THƯỞNG</v>
          </cell>
          <cell r="E238" t="str">
            <v>GSTC</v>
          </cell>
          <cell r="F238" t="str">
            <v>C2</v>
          </cell>
          <cell r="G238">
            <v>44013</v>
          </cell>
          <cell r="H238">
            <v>44075</v>
          </cell>
          <cell r="I238">
            <v>6</v>
          </cell>
          <cell r="J238" t="str">
            <v>Chính thức</v>
          </cell>
          <cell r="K238">
            <v>25</v>
          </cell>
          <cell r="L238">
            <v>24</v>
          </cell>
          <cell r="M238">
            <v>0</v>
          </cell>
          <cell r="T238">
            <v>24</v>
          </cell>
          <cell r="U238">
            <v>9870000</v>
          </cell>
          <cell r="V238">
            <v>730000</v>
          </cell>
          <cell r="W238">
            <v>2000000</v>
          </cell>
          <cell r="X238">
            <v>2000000</v>
          </cell>
          <cell r="Y238">
            <v>400000</v>
          </cell>
          <cell r="Z238">
            <v>15000000</v>
          </cell>
          <cell r="AA238">
            <v>14400000</v>
          </cell>
          <cell r="AB238">
            <v>0</v>
          </cell>
          <cell r="AC238">
            <v>0</v>
          </cell>
          <cell r="AD238">
            <v>14400000</v>
          </cell>
          <cell r="AE238">
            <v>789600</v>
          </cell>
          <cell r="AN238">
            <v>0</v>
          </cell>
          <cell r="AP238">
            <v>0</v>
          </cell>
          <cell r="AQ238">
            <v>15189600</v>
          </cell>
          <cell r="AR238">
            <v>15189600</v>
          </cell>
          <cell r="AS238">
            <v>1036350</v>
          </cell>
          <cell r="AT238">
            <v>2122050</v>
          </cell>
          <cell r="AU238">
            <v>49350</v>
          </cell>
          <cell r="AV238">
            <v>197400</v>
          </cell>
          <cell r="AW238">
            <v>21700000</v>
          </cell>
          <cell r="AX238">
            <v>12059600</v>
          </cell>
          <cell r="AY238">
            <v>0</v>
          </cell>
          <cell r="AZ238">
            <v>0</v>
          </cell>
          <cell r="BC238">
            <v>1085700</v>
          </cell>
          <cell r="BE238">
            <v>14103900</v>
          </cell>
          <cell r="BF238">
            <v>14103900</v>
          </cell>
          <cell r="BG238" t="str">
            <v>CK</v>
          </cell>
          <cell r="BH238" t="str">
            <v>1206004262</v>
          </cell>
          <cell r="BI238" t="str">
            <v>Ngân hàng TMCP Đầu tư và Phát triển  Việt Nam (BIDV)</v>
          </cell>
          <cell r="BK238" t="str">
            <v>dovietthuong@xtep.com</v>
          </cell>
        </row>
        <row r="239">
          <cell r="C239" t="str">
            <v>VB00062</v>
          </cell>
          <cell r="D239" t="str">
            <v>NGUYỄN THỊ LIÊN</v>
          </cell>
          <cell r="E239" t="str">
            <v>Kế toán trưởng</v>
          </cell>
          <cell r="F239" t="str">
            <v>C4</v>
          </cell>
          <cell r="G239">
            <v>44265</v>
          </cell>
          <cell r="H239">
            <v>44326</v>
          </cell>
          <cell r="I239">
            <v>5</v>
          </cell>
          <cell r="J239" t="str">
            <v>Chính thức</v>
          </cell>
          <cell r="K239">
            <v>25</v>
          </cell>
          <cell r="L239">
            <v>24</v>
          </cell>
          <cell r="M239">
            <v>0</v>
          </cell>
          <cell r="T239">
            <v>24</v>
          </cell>
          <cell r="U239">
            <v>11870000</v>
          </cell>
          <cell r="V239">
            <v>730000</v>
          </cell>
          <cell r="W239">
            <v>3000000</v>
          </cell>
          <cell r="X239">
            <v>2000000</v>
          </cell>
          <cell r="Y239">
            <v>400000</v>
          </cell>
          <cell r="Z239">
            <v>18000000</v>
          </cell>
          <cell r="AA239">
            <v>17280000</v>
          </cell>
          <cell r="AB239">
            <v>0</v>
          </cell>
          <cell r="AC239">
            <v>0</v>
          </cell>
          <cell r="AD239">
            <v>17280000</v>
          </cell>
          <cell r="AN239">
            <v>0</v>
          </cell>
          <cell r="AP239">
            <v>0</v>
          </cell>
          <cell r="AQ239">
            <v>17280000</v>
          </cell>
          <cell r="AR239">
            <v>17280000</v>
          </cell>
          <cell r="AS239">
            <v>1246350</v>
          </cell>
          <cell r="AT239">
            <v>2552050</v>
          </cell>
          <cell r="AU239">
            <v>59350</v>
          </cell>
          <cell r="AV239">
            <v>237400</v>
          </cell>
          <cell r="AW239">
            <v>21700000</v>
          </cell>
          <cell r="AX239">
            <v>13150000</v>
          </cell>
          <cell r="AY239">
            <v>0</v>
          </cell>
          <cell r="AZ239">
            <v>0</v>
          </cell>
          <cell r="BC239">
            <v>1305700</v>
          </cell>
          <cell r="BE239">
            <v>15974300</v>
          </cell>
          <cell r="BF239">
            <v>15974300</v>
          </cell>
          <cell r="BG239" t="str">
            <v>CK</v>
          </cell>
          <cell r="BH239" t="str">
            <v>2200920420</v>
          </cell>
          <cell r="BI239" t="str">
            <v>Ngân hàng TMCP Đầu tư và Phát triển  Việt Nam (BIDV)</v>
          </cell>
          <cell r="BK239" t="str">
            <v>nguyenthilien@xtep.com</v>
          </cell>
        </row>
        <row r="240">
          <cell r="C240" t="str">
            <v>VB00203</v>
          </cell>
          <cell r="D240" t="str">
            <v>NGUYỄN ANH DŨNG</v>
          </cell>
          <cell r="E240" t="str">
            <v>Thủ kho</v>
          </cell>
          <cell r="F240" t="str">
            <v>C4</v>
          </cell>
          <cell r="G240">
            <v>44726</v>
          </cell>
          <cell r="H240">
            <v>44787</v>
          </cell>
          <cell r="I240">
            <v>4</v>
          </cell>
          <cell r="J240" t="str">
            <v>Chính thức</v>
          </cell>
          <cell r="K240">
            <v>25</v>
          </cell>
          <cell r="L240">
            <v>24</v>
          </cell>
          <cell r="M240">
            <v>0</v>
          </cell>
          <cell r="N240">
            <v>2</v>
          </cell>
          <cell r="O240">
            <v>8</v>
          </cell>
          <cell r="Q240">
            <v>6</v>
          </cell>
          <cell r="T240">
            <v>24</v>
          </cell>
          <cell r="U240">
            <v>11870000</v>
          </cell>
          <cell r="V240">
            <v>730000</v>
          </cell>
          <cell r="W240">
            <v>3000000</v>
          </cell>
          <cell r="X240">
            <v>2000000</v>
          </cell>
          <cell r="Y240">
            <v>400000</v>
          </cell>
          <cell r="Z240">
            <v>18000000</v>
          </cell>
          <cell r="AA240">
            <v>17280000</v>
          </cell>
          <cell r="AB240">
            <v>0</v>
          </cell>
          <cell r="AC240">
            <v>0</v>
          </cell>
          <cell r="AD240">
            <v>17280000</v>
          </cell>
          <cell r="AI240">
            <v>178050</v>
          </cell>
          <cell r="AJ240">
            <v>949600</v>
          </cell>
          <cell r="AK240">
            <v>0</v>
          </cell>
          <cell r="AL240">
            <v>747810</v>
          </cell>
          <cell r="AM240">
            <v>422500</v>
          </cell>
          <cell r="AN240">
            <v>0</v>
          </cell>
          <cell r="AP240">
            <v>0</v>
          </cell>
          <cell r="AQ240">
            <v>19577960</v>
          </cell>
          <cell r="AR240">
            <v>19577960</v>
          </cell>
          <cell r="AS240">
            <v>1246350</v>
          </cell>
          <cell r="AT240">
            <v>2552050</v>
          </cell>
          <cell r="AU240">
            <v>59350</v>
          </cell>
          <cell r="AV240">
            <v>237400</v>
          </cell>
          <cell r="AW240">
            <v>15500000</v>
          </cell>
          <cell r="AX240">
            <v>13572500</v>
          </cell>
          <cell r="AY240">
            <v>0</v>
          </cell>
          <cell r="AZ240">
            <v>0</v>
          </cell>
          <cell r="BC240">
            <v>1305700</v>
          </cell>
          <cell r="BE240">
            <v>18272260</v>
          </cell>
          <cell r="BF240">
            <v>18272260</v>
          </cell>
          <cell r="BG240" t="str">
            <v>CK</v>
          </cell>
          <cell r="BH240" t="str">
            <v>2207114817</v>
          </cell>
          <cell r="BI240" t="str">
            <v>Ngân hàng TMCP Đầu tư và Phát triển  Việt Nam (BIDV) -CN Thang Long</v>
          </cell>
          <cell r="BK240" t="str">
            <v>nguyenanhdung2294@gmail.com</v>
          </cell>
        </row>
        <row r="241">
          <cell r="C241" t="str">
            <v>VB00111</v>
          </cell>
          <cell r="D241" t="str">
            <v>ĐÀO NGỌC SƠN</v>
          </cell>
          <cell r="E241" t="str">
            <v>Lái xe Kho</v>
          </cell>
          <cell r="F241" t="str">
            <v>B2</v>
          </cell>
          <cell r="G241">
            <v>44399</v>
          </cell>
          <cell r="H241">
            <v>44466</v>
          </cell>
          <cell r="I241">
            <v>5</v>
          </cell>
          <cell r="J241" t="str">
            <v>Chính thức</v>
          </cell>
          <cell r="K241">
            <v>25</v>
          </cell>
          <cell r="L241">
            <v>24</v>
          </cell>
          <cell r="M241">
            <v>0</v>
          </cell>
          <cell r="N241">
            <v>28</v>
          </cell>
          <cell r="Q241">
            <v>12</v>
          </cell>
          <cell r="T241">
            <v>24</v>
          </cell>
          <cell r="U241">
            <v>7870000</v>
          </cell>
          <cell r="V241">
            <v>730000</v>
          </cell>
          <cell r="W241">
            <v>1000000</v>
          </cell>
          <cell r="X241">
            <v>2000000</v>
          </cell>
          <cell r="Y241">
            <v>400000</v>
          </cell>
          <cell r="Z241">
            <v>12000000</v>
          </cell>
          <cell r="AA241">
            <v>11520000</v>
          </cell>
          <cell r="AB241">
            <v>0</v>
          </cell>
          <cell r="AC241">
            <v>0</v>
          </cell>
          <cell r="AD241">
            <v>11520000</v>
          </cell>
          <cell r="AI241">
            <v>1652700</v>
          </cell>
          <cell r="AJ241">
            <v>0</v>
          </cell>
          <cell r="AK241">
            <v>0</v>
          </cell>
          <cell r="AL241">
            <v>991620</v>
          </cell>
          <cell r="AM241">
            <v>443400</v>
          </cell>
          <cell r="AN241">
            <v>0</v>
          </cell>
          <cell r="AP241">
            <v>0</v>
          </cell>
          <cell r="AQ241">
            <v>14607720</v>
          </cell>
          <cell r="AR241">
            <v>14607720</v>
          </cell>
          <cell r="AS241">
            <v>826350</v>
          </cell>
          <cell r="AT241">
            <v>1692050</v>
          </cell>
          <cell r="AU241">
            <v>39350</v>
          </cell>
          <cell r="AV241">
            <v>157400</v>
          </cell>
          <cell r="AW241">
            <v>15500000</v>
          </cell>
          <cell r="AX241">
            <v>9833400</v>
          </cell>
          <cell r="AY241">
            <v>0</v>
          </cell>
          <cell r="AZ241">
            <v>0</v>
          </cell>
          <cell r="BC241">
            <v>865700</v>
          </cell>
          <cell r="BE241">
            <v>13742020</v>
          </cell>
          <cell r="BF241">
            <v>13742020</v>
          </cell>
          <cell r="BG241" t="str">
            <v>CK</v>
          </cell>
          <cell r="BH241" t="str">
            <v>2153844974</v>
          </cell>
          <cell r="BI241" t="str">
            <v>Ngân hàng TMCP Đầu tư và Phát triển  Việt Nam (BIDV)</v>
          </cell>
          <cell r="BK241" t="str">
            <v>donal.lc89@gmail.com</v>
          </cell>
        </row>
        <row r="242">
          <cell r="C242" t="str">
            <v>VB00160</v>
          </cell>
          <cell r="D242" t="str">
            <v>ĐỖ CHÍ THÀNH</v>
          </cell>
          <cell r="E242" t="str">
            <v>NV Kho</v>
          </cell>
          <cell r="F242" t="str">
            <v>A2</v>
          </cell>
          <cell r="G242">
            <v>44635</v>
          </cell>
          <cell r="H242">
            <v>44694</v>
          </cell>
          <cell r="I242">
            <v>4</v>
          </cell>
          <cell r="J242" t="str">
            <v>Chính thức</v>
          </cell>
          <cell r="K242">
            <v>25</v>
          </cell>
          <cell r="L242">
            <v>24</v>
          </cell>
          <cell r="M242">
            <v>0</v>
          </cell>
          <cell r="N242">
            <v>0</v>
          </cell>
          <cell r="O242">
            <v>8</v>
          </cell>
          <cell r="T242">
            <v>24</v>
          </cell>
          <cell r="U242">
            <v>5870000</v>
          </cell>
          <cell r="V242">
            <v>730000</v>
          </cell>
          <cell r="W242">
            <v>1000000</v>
          </cell>
          <cell r="X242">
            <v>1000000</v>
          </cell>
          <cell r="Y242">
            <v>400000</v>
          </cell>
          <cell r="Z242">
            <v>9000000</v>
          </cell>
          <cell r="AA242">
            <v>8640000</v>
          </cell>
          <cell r="AB242">
            <v>0</v>
          </cell>
          <cell r="AC242">
            <v>0</v>
          </cell>
          <cell r="AD242">
            <v>8640000</v>
          </cell>
          <cell r="AI242">
            <v>0</v>
          </cell>
          <cell r="AJ242">
            <v>469600</v>
          </cell>
          <cell r="AK242">
            <v>0</v>
          </cell>
          <cell r="AL242">
            <v>0</v>
          </cell>
          <cell r="AM242">
            <v>666000</v>
          </cell>
          <cell r="AN242">
            <v>0</v>
          </cell>
          <cell r="AP242">
            <v>0</v>
          </cell>
          <cell r="AQ242">
            <v>9775600</v>
          </cell>
          <cell r="AR242">
            <v>9775600</v>
          </cell>
          <cell r="AS242">
            <v>616350</v>
          </cell>
          <cell r="AT242">
            <v>1262050</v>
          </cell>
          <cell r="AU242">
            <v>29350</v>
          </cell>
          <cell r="AV242">
            <v>117400</v>
          </cell>
          <cell r="AW242">
            <v>15500000</v>
          </cell>
          <cell r="AX242">
            <v>7176000</v>
          </cell>
          <cell r="AY242">
            <v>0</v>
          </cell>
          <cell r="AZ242">
            <v>0</v>
          </cell>
          <cell r="BC242">
            <v>645700</v>
          </cell>
          <cell r="BE242">
            <v>9129900</v>
          </cell>
          <cell r="BF242">
            <v>9129900</v>
          </cell>
          <cell r="BG242" t="str">
            <v>CK</v>
          </cell>
          <cell r="BH242" t="str">
            <v>4270968694</v>
          </cell>
          <cell r="BI242" t="str">
            <v>Ngân hàng TMCP Đầu tư và Phát triển  Việt Nam (BIDV)</v>
          </cell>
          <cell r="BK242" t="str">
            <v>dothanh170390@gmail.com</v>
          </cell>
        </row>
        <row r="243">
          <cell r="C243" t="str">
            <v>VB00161</v>
          </cell>
          <cell r="D243" t="str">
            <v>ĐỖ PHƯƠNG TÚ</v>
          </cell>
          <cell r="E243" t="str">
            <v>NV Kho</v>
          </cell>
          <cell r="F243" t="str">
            <v>A2</v>
          </cell>
          <cell r="G243">
            <v>44635</v>
          </cell>
          <cell r="H243">
            <v>44694</v>
          </cell>
          <cell r="I243">
            <v>4</v>
          </cell>
          <cell r="J243" t="str">
            <v>Chính thức</v>
          </cell>
          <cell r="K243">
            <v>25</v>
          </cell>
          <cell r="L243">
            <v>24</v>
          </cell>
          <cell r="M243">
            <v>0</v>
          </cell>
          <cell r="N243">
            <v>0</v>
          </cell>
          <cell r="O243">
            <v>8</v>
          </cell>
          <cell r="T243">
            <v>24</v>
          </cell>
          <cell r="U243">
            <v>5870000</v>
          </cell>
          <cell r="V243">
            <v>730000</v>
          </cell>
          <cell r="W243">
            <v>1000000</v>
          </cell>
          <cell r="X243">
            <v>1000000</v>
          </cell>
          <cell r="Y243">
            <v>400000</v>
          </cell>
          <cell r="Z243">
            <v>9000000</v>
          </cell>
          <cell r="AA243">
            <v>8640000</v>
          </cell>
          <cell r="AB243">
            <v>0</v>
          </cell>
          <cell r="AC243">
            <v>0</v>
          </cell>
          <cell r="AD243">
            <v>8640000</v>
          </cell>
          <cell r="AI243">
            <v>0</v>
          </cell>
          <cell r="AJ243">
            <v>469600</v>
          </cell>
          <cell r="AK243">
            <v>0</v>
          </cell>
          <cell r="AL243">
            <v>0</v>
          </cell>
          <cell r="AM243">
            <v>608200</v>
          </cell>
          <cell r="AN243">
            <v>0</v>
          </cell>
          <cell r="AP243">
            <v>0</v>
          </cell>
          <cell r="AQ243">
            <v>9717800</v>
          </cell>
          <cell r="AR243">
            <v>9717800</v>
          </cell>
          <cell r="AS243">
            <v>616350</v>
          </cell>
          <cell r="AT243">
            <v>1262050</v>
          </cell>
          <cell r="AU243">
            <v>29350</v>
          </cell>
          <cell r="AV243">
            <v>117400</v>
          </cell>
          <cell r="AW243">
            <v>15500000</v>
          </cell>
          <cell r="AX243">
            <v>7118200</v>
          </cell>
          <cell r="AY243">
            <v>0</v>
          </cell>
          <cell r="AZ243">
            <v>0</v>
          </cell>
          <cell r="BC243">
            <v>645700</v>
          </cell>
          <cell r="BE243">
            <v>9072100</v>
          </cell>
          <cell r="BF243">
            <v>9072100</v>
          </cell>
          <cell r="BG243" t="str">
            <v>CK</v>
          </cell>
          <cell r="BH243" t="str">
            <v>2143941382</v>
          </cell>
          <cell r="BI243" t="str">
            <v>Ngân hàng TMCP Đầu tư và Phát triển  Việt Nam (BIDV)</v>
          </cell>
          <cell r="BK243" t="str">
            <v>dophuongtu.98@gmail.com</v>
          </cell>
        </row>
        <row r="244">
          <cell r="C244" t="str">
            <v>VB00137</v>
          </cell>
          <cell r="D244" t="str">
            <v>CHEN AIPENG</v>
          </cell>
          <cell r="E244" t="str">
            <v>TP QLBL</v>
          </cell>
          <cell r="G244">
            <v>44562</v>
          </cell>
          <cell r="H244">
            <v>44562</v>
          </cell>
          <cell r="I244">
            <v>4</v>
          </cell>
          <cell r="J244" t="str">
            <v>Chính thức</v>
          </cell>
          <cell r="K244">
            <v>25</v>
          </cell>
          <cell r="L244">
            <v>24</v>
          </cell>
          <cell r="M244">
            <v>0</v>
          </cell>
          <cell r="T244">
            <v>24</v>
          </cell>
          <cell r="U244">
            <v>8338000</v>
          </cell>
          <cell r="V244">
            <v>730000</v>
          </cell>
          <cell r="W244">
            <v>2000000</v>
          </cell>
          <cell r="X244">
            <v>2000000</v>
          </cell>
          <cell r="Y244">
            <v>400000</v>
          </cell>
          <cell r="Z244">
            <v>13468000</v>
          </cell>
          <cell r="AA244">
            <v>12929280</v>
          </cell>
          <cell r="AB244">
            <v>0</v>
          </cell>
          <cell r="AC244">
            <v>0</v>
          </cell>
          <cell r="AD244">
            <v>12929280</v>
          </cell>
          <cell r="AN244">
            <v>0</v>
          </cell>
          <cell r="AP244">
            <v>0</v>
          </cell>
          <cell r="AQ244">
            <v>12929280</v>
          </cell>
          <cell r="AR244">
            <v>12929280</v>
          </cell>
          <cell r="AS244">
            <v>792110</v>
          </cell>
          <cell r="AT244">
            <v>1709290</v>
          </cell>
          <cell r="AW244">
            <v>15500000</v>
          </cell>
          <cell r="AX244">
            <v>9799280</v>
          </cell>
          <cell r="AY244">
            <v>0</v>
          </cell>
          <cell r="AZ244">
            <v>0</v>
          </cell>
          <cell r="BC244">
            <v>792110</v>
          </cell>
          <cell r="BE244">
            <v>12137170</v>
          </cell>
          <cell r="BF244">
            <v>12137170</v>
          </cell>
          <cell r="BG244" t="str">
            <v>CK</v>
          </cell>
          <cell r="BH244" t="str">
            <v>2154305173</v>
          </cell>
          <cell r="BI244" t="str">
            <v>Ngân hàng TMCP Đầu tư và Phát triển Việt Nam (BIDV)</v>
          </cell>
        </row>
        <row r="245">
          <cell r="C245" t="str">
            <v>VB00256</v>
          </cell>
          <cell r="D245" t="str">
            <v>NGUYỄN THỊ HUẾ</v>
          </cell>
          <cell r="E245" t="str">
            <v>PTSL</v>
          </cell>
          <cell r="F245" t="str">
            <v>B6</v>
          </cell>
          <cell r="G245">
            <v>44830</v>
          </cell>
          <cell r="H245">
            <v>44891</v>
          </cell>
          <cell r="I245">
            <v>3</v>
          </cell>
          <cell r="J245" t="str">
            <v>Chính thức</v>
          </cell>
          <cell r="K245">
            <v>25</v>
          </cell>
          <cell r="L245">
            <v>24</v>
          </cell>
          <cell r="M245">
            <v>0</v>
          </cell>
          <cell r="T245">
            <v>24</v>
          </cell>
          <cell r="U245">
            <v>11870000</v>
          </cell>
          <cell r="V245">
            <v>730000</v>
          </cell>
          <cell r="W245">
            <v>3000000</v>
          </cell>
          <cell r="X245">
            <v>2000000</v>
          </cell>
          <cell r="Y245">
            <v>400000</v>
          </cell>
          <cell r="Z245">
            <v>18000000</v>
          </cell>
          <cell r="AA245">
            <v>17280000</v>
          </cell>
          <cell r="AB245">
            <v>0</v>
          </cell>
          <cell r="AC245">
            <v>0</v>
          </cell>
          <cell r="AD245">
            <v>17280000</v>
          </cell>
          <cell r="AN245">
            <v>0</v>
          </cell>
          <cell r="AP245">
            <v>0</v>
          </cell>
          <cell r="AQ245">
            <v>17280000</v>
          </cell>
          <cell r="AR245">
            <v>17280000</v>
          </cell>
          <cell r="AS245">
            <v>1246350</v>
          </cell>
          <cell r="AT245">
            <v>2552050</v>
          </cell>
          <cell r="AU245">
            <v>59350</v>
          </cell>
          <cell r="AV245">
            <v>237400</v>
          </cell>
          <cell r="AW245">
            <v>15500000</v>
          </cell>
          <cell r="AX245">
            <v>13150000</v>
          </cell>
          <cell r="AY245">
            <v>0</v>
          </cell>
          <cell r="AZ245">
            <v>0</v>
          </cell>
          <cell r="BC245">
            <v>1305700</v>
          </cell>
          <cell r="BE245">
            <v>15974300</v>
          </cell>
          <cell r="BF245">
            <v>15974300</v>
          </cell>
          <cell r="BG245" t="str">
            <v>CK</v>
          </cell>
          <cell r="BH245" t="str">
            <v>4251875562</v>
          </cell>
          <cell r="BI245" t="str">
            <v>BIDV Cầu Giấy</v>
          </cell>
          <cell r="BK245" t="str">
            <v>hue272k@gmail.com</v>
          </cell>
        </row>
        <row r="246">
          <cell r="C246" t="str">
            <v>VB00169</v>
          </cell>
          <cell r="D246" t="str">
            <v>TRẦN THỊ YÊN</v>
          </cell>
          <cell r="E246" t="str">
            <v>Kế toán tổng hợp</v>
          </cell>
          <cell r="F246" t="str">
            <v>B3</v>
          </cell>
          <cell r="G246">
            <v>44653</v>
          </cell>
          <cell r="H246">
            <v>44713</v>
          </cell>
          <cell r="I246">
            <v>4</v>
          </cell>
          <cell r="J246" t="str">
            <v>Chính thức</v>
          </cell>
          <cell r="K246">
            <v>25</v>
          </cell>
          <cell r="L246">
            <v>24</v>
          </cell>
          <cell r="M246">
            <v>0</v>
          </cell>
          <cell r="T246">
            <v>24</v>
          </cell>
          <cell r="U246">
            <v>8370000</v>
          </cell>
          <cell r="V246">
            <v>730000</v>
          </cell>
          <cell r="W246">
            <v>2000000</v>
          </cell>
          <cell r="X246">
            <v>1500000</v>
          </cell>
          <cell r="Y246">
            <v>400000</v>
          </cell>
          <cell r="Z246">
            <v>13000000</v>
          </cell>
          <cell r="AA246">
            <v>12480000</v>
          </cell>
          <cell r="AB246">
            <v>0</v>
          </cell>
          <cell r="AC246">
            <v>0</v>
          </cell>
          <cell r="AD246">
            <v>12480000</v>
          </cell>
          <cell r="AN246">
            <v>0</v>
          </cell>
          <cell r="AP246">
            <v>0</v>
          </cell>
          <cell r="AQ246">
            <v>12480000</v>
          </cell>
          <cell r="AR246">
            <v>12480000</v>
          </cell>
          <cell r="AS246">
            <v>878850</v>
          </cell>
          <cell r="AT246">
            <v>1799550</v>
          </cell>
          <cell r="AU246">
            <v>41850</v>
          </cell>
          <cell r="AV246">
            <v>167400</v>
          </cell>
          <cell r="AW246">
            <v>21700000</v>
          </cell>
          <cell r="AX246">
            <v>9350000</v>
          </cell>
          <cell r="AY246">
            <v>0</v>
          </cell>
          <cell r="AZ246">
            <v>0</v>
          </cell>
          <cell r="BC246">
            <v>920700</v>
          </cell>
          <cell r="BE246">
            <v>11559300</v>
          </cell>
          <cell r="BF246">
            <v>11559300</v>
          </cell>
          <cell r="BG246" t="str">
            <v>CK</v>
          </cell>
          <cell r="BH246" t="str">
            <v>2154598888</v>
          </cell>
          <cell r="BI246" t="str">
            <v>Ngân hàng TMCP Đầu tư và Phát triển  Việt Nam (BIDV)</v>
          </cell>
        </row>
        <row r="247">
          <cell r="C247" t="str">
            <v>VB00393</v>
          </cell>
          <cell r="D247" t="str">
            <v>NGUYỄN THỊ OANH</v>
          </cell>
          <cell r="E247" t="str">
            <v>CV vận hành TMDT</v>
          </cell>
          <cell r="F247" t="str">
            <v>B2</v>
          </cell>
          <cell r="G247">
            <v>45383</v>
          </cell>
          <cell r="H247">
            <v>45444</v>
          </cell>
          <cell r="I247">
            <v>2</v>
          </cell>
          <cell r="J247" t="str">
            <v>Chính thức</v>
          </cell>
          <cell r="K247">
            <v>25</v>
          </cell>
          <cell r="L247">
            <v>24</v>
          </cell>
          <cell r="M247">
            <v>0</v>
          </cell>
          <cell r="T247">
            <v>24</v>
          </cell>
          <cell r="U247">
            <v>7870000</v>
          </cell>
          <cell r="V247">
            <v>730000</v>
          </cell>
          <cell r="W247">
            <v>2000000</v>
          </cell>
          <cell r="X247">
            <v>1000000</v>
          </cell>
          <cell r="Y247">
            <v>400000</v>
          </cell>
          <cell r="Z247">
            <v>12000000</v>
          </cell>
          <cell r="AA247">
            <v>11520000</v>
          </cell>
          <cell r="AB247">
            <v>0</v>
          </cell>
          <cell r="AC247">
            <v>0</v>
          </cell>
          <cell r="AD247">
            <v>11520000</v>
          </cell>
          <cell r="AH247">
            <v>0</v>
          </cell>
          <cell r="AN247">
            <v>0</v>
          </cell>
          <cell r="AP247">
            <v>0</v>
          </cell>
          <cell r="AQ247">
            <v>11520000</v>
          </cell>
          <cell r="AR247">
            <v>11520000</v>
          </cell>
          <cell r="AS247">
            <v>826350</v>
          </cell>
          <cell r="AT247">
            <v>1692050</v>
          </cell>
          <cell r="AU247">
            <v>39350</v>
          </cell>
          <cell r="AV247">
            <v>157400</v>
          </cell>
          <cell r="AW247">
            <v>15500000</v>
          </cell>
          <cell r="AX247">
            <v>8390000</v>
          </cell>
          <cell r="AY247">
            <v>0</v>
          </cell>
          <cell r="AZ247">
            <v>0</v>
          </cell>
          <cell r="BC247">
            <v>865700</v>
          </cell>
          <cell r="BE247">
            <v>10654300</v>
          </cell>
          <cell r="BF247">
            <v>10654300</v>
          </cell>
          <cell r="BG247" t="str">
            <v>CK</v>
          </cell>
          <cell r="BH247">
            <v>8881853510</v>
          </cell>
          <cell r="BI247" t="str">
            <v>Ngân hàng TMCP Đầu tư và Phát triển  Việt Nam (BIDV)</v>
          </cell>
          <cell r="BK247" t="str">
            <v>oanhnguyentc89@gmail.com</v>
          </cell>
        </row>
        <row r="248">
          <cell r="C248" t="str">
            <v>VB00017</v>
          </cell>
          <cell r="D248" t="str">
            <v>NGUYỄN THỊ NGỌC QUỲNH</v>
          </cell>
          <cell r="E248" t="str">
            <v>GSCH</v>
          </cell>
          <cell r="F248" t="str">
            <v>B4</v>
          </cell>
          <cell r="G248">
            <v>43891</v>
          </cell>
          <cell r="H248">
            <v>43891</v>
          </cell>
          <cell r="I248">
            <v>6</v>
          </cell>
          <cell r="J248" t="str">
            <v>Chính thức</v>
          </cell>
          <cell r="K248">
            <v>25</v>
          </cell>
          <cell r="L248">
            <v>23</v>
          </cell>
          <cell r="M248">
            <v>0</v>
          </cell>
          <cell r="T248">
            <v>23</v>
          </cell>
          <cell r="U248">
            <v>9870000</v>
          </cell>
          <cell r="V248">
            <v>730000</v>
          </cell>
          <cell r="W248">
            <v>2000000</v>
          </cell>
          <cell r="X248">
            <v>2000000</v>
          </cell>
          <cell r="Y248">
            <v>400000</v>
          </cell>
          <cell r="Z248">
            <v>15000000</v>
          </cell>
          <cell r="AA248">
            <v>13800000</v>
          </cell>
          <cell r="AB248">
            <v>0</v>
          </cell>
          <cell r="AC248">
            <v>0</v>
          </cell>
          <cell r="AD248">
            <v>13800000</v>
          </cell>
          <cell r="AE248">
            <v>789600</v>
          </cell>
          <cell r="AH248">
            <v>4500000</v>
          </cell>
          <cell r="AN248">
            <v>0</v>
          </cell>
          <cell r="AP248">
            <v>0</v>
          </cell>
          <cell r="AQ248">
            <v>19089600</v>
          </cell>
          <cell r="AR248">
            <v>19089600</v>
          </cell>
          <cell r="AS248">
            <v>1036350</v>
          </cell>
          <cell r="AT248">
            <v>2122050</v>
          </cell>
          <cell r="AU248">
            <v>49350</v>
          </cell>
          <cell r="AV248">
            <v>197400</v>
          </cell>
          <cell r="AW248">
            <v>21700000</v>
          </cell>
          <cell r="AX248">
            <v>15959600</v>
          </cell>
          <cell r="AY248">
            <v>0</v>
          </cell>
          <cell r="AZ248">
            <v>0</v>
          </cell>
          <cell r="BC248">
            <v>1085700</v>
          </cell>
          <cell r="BE248">
            <v>18003900</v>
          </cell>
          <cell r="BF248">
            <v>18003900</v>
          </cell>
          <cell r="BG248" t="str">
            <v>CK</v>
          </cell>
          <cell r="BH248" t="str">
            <v>1280806411</v>
          </cell>
          <cell r="BI248" t="str">
            <v>Ngân hàng TMCP Đầu tư và Phát triển  Việt Nam (BIDV)</v>
          </cell>
        </row>
        <row r="249">
          <cell r="C249" t="str">
            <v>VB00547</v>
          </cell>
          <cell r="D249" t="str">
            <v>NGUYỄN TIẾN ĐỨC</v>
          </cell>
          <cell r="E249" t="str">
            <v>GSCH</v>
          </cell>
          <cell r="F249" t="str">
            <v>B4</v>
          </cell>
          <cell r="G249">
            <v>45717</v>
          </cell>
          <cell r="H249">
            <v>45717</v>
          </cell>
          <cell r="I249">
            <v>1</v>
          </cell>
          <cell r="J249" t="str">
            <v>Chính thức</v>
          </cell>
          <cell r="K249">
            <v>25</v>
          </cell>
          <cell r="L249">
            <v>24</v>
          </cell>
          <cell r="M249">
            <v>0</v>
          </cell>
          <cell r="T249">
            <v>24</v>
          </cell>
          <cell r="U249">
            <v>9870000</v>
          </cell>
          <cell r="V249">
            <v>730000</v>
          </cell>
          <cell r="W249">
            <v>2000000</v>
          </cell>
          <cell r="X249">
            <v>2000000</v>
          </cell>
          <cell r="Y249">
            <v>400000</v>
          </cell>
          <cell r="Z249">
            <v>15000000</v>
          </cell>
          <cell r="AA249">
            <v>14400000</v>
          </cell>
          <cell r="AB249">
            <v>0</v>
          </cell>
          <cell r="AC249">
            <v>0</v>
          </cell>
          <cell r="AD249">
            <v>14400000</v>
          </cell>
          <cell r="AE249">
            <v>789600</v>
          </cell>
          <cell r="AH249">
            <v>3500000</v>
          </cell>
          <cell r="AN249">
            <v>0</v>
          </cell>
          <cell r="AP249">
            <v>0</v>
          </cell>
          <cell r="AQ249">
            <v>18689600</v>
          </cell>
          <cell r="AR249">
            <v>18689600</v>
          </cell>
          <cell r="AS249">
            <v>1036350</v>
          </cell>
          <cell r="AT249">
            <v>2122050</v>
          </cell>
          <cell r="AU249">
            <v>49350</v>
          </cell>
          <cell r="AV249">
            <v>197400</v>
          </cell>
          <cell r="AW249">
            <v>27900000</v>
          </cell>
          <cell r="AX249">
            <v>15559600</v>
          </cell>
          <cell r="AY249">
            <v>0</v>
          </cell>
          <cell r="AZ249">
            <v>0</v>
          </cell>
          <cell r="BC249">
            <v>1085700</v>
          </cell>
          <cell r="BE249">
            <v>17603900</v>
          </cell>
          <cell r="BF249">
            <v>17603900</v>
          </cell>
          <cell r="BG249" t="str">
            <v>CK</v>
          </cell>
          <cell r="BH249">
            <v>1990842857</v>
          </cell>
          <cell r="BI249" t="str">
            <v>BIDV</v>
          </cell>
        </row>
        <row r="250">
          <cell r="C250" t="str">
            <v>VB00595</v>
          </cell>
          <cell r="D250" t="str">
            <v>MAI THÚY HẰNG</v>
          </cell>
          <cell r="E250" t="str">
            <v>NVTB</v>
          </cell>
          <cell r="F250" t="str">
            <v>C4</v>
          </cell>
          <cell r="G250">
            <v>45859</v>
          </cell>
          <cell r="H250">
            <v>45920</v>
          </cell>
          <cell r="I250">
            <v>1</v>
          </cell>
          <cell r="J250" t="str">
            <v>Chính thức</v>
          </cell>
          <cell r="K250">
            <v>25</v>
          </cell>
          <cell r="L250">
            <v>22.5</v>
          </cell>
          <cell r="M250">
            <v>0</v>
          </cell>
          <cell r="T250">
            <v>22.5</v>
          </cell>
          <cell r="U250">
            <v>11870000</v>
          </cell>
          <cell r="V250">
            <v>730000</v>
          </cell>
          <cell r="W250">
            <v>3000000</v>
          </cell>
          <cell r="X250">
            <v>2000000</v>
          </cell>
          <cell r="Y250">
            <v>400000</v>
          </cell>
          <cell r="Z250">
            <v>18000000</v>
          </cell>
          <cell r="AA250">
            <v>16200000</v>
          </cell>
          <cell r="AB250">
            <v>0</v>
          </cell>
          <cell r="AC250">
            <v>0</v>
          </cell>
          <cell r="AD250">
            <v>16200000</v>
          </cell>
          <cell r="AE250">
            <v>949600</v>
          </cell>
          <cell r="AN250">
            <v>0</v>
          </cell>
          <cell r="AP250">
            <v>0</v>
          </cell>
          <cell r="AQ250">
            <v>17149600</v>
          </cell>
          <cell r="AR250">
            <v>17149600</v>
          </cell>
          <cell r="AS250">
            <v>1246350</v>
          </cell>
          <cell r="AT250">
            <v>2552050</v>
          </cell>
          <cell r="AU250">
            <v>59350</v>
          </cell>
          <cell r="AV250">
            <v>237400</v>
          </cell>
          <cell r="AW250">
            <v>15500000</v>
          </cell>
          <cell r="AX250">
            <v>13019600</v>
          </cell>
          <cell r="AY250">
            <v>0</v>
          </cell>
          <cell r="AZ250">
            <v>0</v>
          </cell>
          <cell r="BC250">
            <v>1305700</v>
          </cell>
          <cell r="BE250">
            <v>15843900</v>
          </cell>
          <cell r="BF250">
            <v>15843900</v>
          </cell>
          <cell r="BG250" t="str">
            <v>CK</v>
          </cell>
          <cell r="BH250">
            <v>8815858081</v>
          </cell>
          <cell r="BI250" t="str">
            <v>BIDV</v>
          </cell>
        </row>
        <row r="251">
          <cell r="C251" t="str">
            <v>VB00675</v>
          </cell>
          <cell r="D251" t="str">
            <v>BÙI THỊ HOÀI</v>
          </cell>
          <cell r="E251" t="str">
            <v>HCNS</v>
          </cell>
          <cell r="F251" t="str">
            <v>A3</v>
          </cell>
          <cell r="G251">
            <v>46113</v>
          </cell>
          <cell r="H251">
            <v>46174</v>
          </cell>
          <cell r="I251">
            <v>0</v>
          </cell>
          <cell r="J251" t="str">
            <v>Chính thức</v>
          </cell>
          <cell r="K251">
            <v>25</v>
          </cell>
          <cell r="L251">
            <v>24</v>
          </cell>
          <cell r="T251">
            <v>24</v>
          </cell>
          <cell r="U251">
            <v>6870000</v>
          </cell>
          <cell r="V251">
            <v>730000</v>
          </cell>
          <cell r="W251">
            <v>1000000</v>
          </cell>
          <cell r="X251">
            <v>1000000</v>
          </cell>
          <cell r="Y251">
            <v>400000</v>
          </cell>
          <cell r="Z251">
            <v>10000000</v>
          </cell>
          <cell r="AA251">
            <v>9600000</v>
          </cell>
          <cell r="AB251">
            <v>0</v>
          </cell>
          <cell r="AC251">
            <v>0</v>
          </cell>
          <cell r="AD251">
            <v>9600000</v>
          </cell>
          <cell r="AN251">
            <v>0</v>
          </cell>
          <cell r="AP251">
            <v>0</v>
          </cell>
          <cell r="AQ251">
            <v>9600000</v>
          </cell>
          <cell r="AR251">
            <v>9600000</v>
          </cell>
          <cell r="AS251">
            <v>721350</v>
          </cell>
          <cell r="AT251">
            <v>1477050</v>
          </cell>
          <cell r="AU251">
            <v>34350</v>
          </cell>
          <cell r="AV251">
            <v>137400</v>
          </cell>
          <cell r="AW251">
            <v>15500000</v>
          </cell>
          <cell r="AX251">
            <v>7470000</v>
          </cell>
          <cell r="AY251">
            <v>0</v>
          </cell>
          <cell r="AZ251">
            <v>0</v>
          </cell>
          <cell r="BC251">
            <v>755700</v>
          </cell>
          <cell r="BE251">
            <v>8844300</v>
          </cell>
          <cell r="BF251">
            <v>8844300</v>
          </cell>
          <cell r="BG251" t="str">
            <v>CK</v>
          </cell>
          <cell r="BH251">
            <v>5180637766</v>
          </cell>
          <cell r="BI251" t="str">
            <v>Ngân hàng TMCP Đầu tư và Phát triển  Việt Nam (BIDV)</v>
          </cell>
          <cell r="BK251" t="str">
            <v>buithihoai03na@gmail.com</v>
          </cell>
        </row>
        <row r="252">
          <cell r="C252" t="str">
            <v>VB00273</v>
          </cell>
          <cell r="D252" t="str">
            <v>NGUYỄN THỊ PHƯƠNG LAN</v>
          </cell>
          <cell r="E252" t="str">
            <v>Kế toán</v>
          </cell>
          <cell r="F252" t="str">
            <v>A4</v>
          </cell>
          <cell r="G252">
            <v>44893</v>
          </cell>
          <cell r="H252">
            <v>44923</v>
          </cell>
          <cell r="I252">
            <v>0</v>
          </cell>
          <cell r="J252" t="str">
            <v>Chính thức</v>
          </cell>
          <cell r="K252">
            <v>25</v>
          </cell>
          <cell r="L252">
            <v>23.5</v>
          </cell>
          <cell r="M252">
            <v>0</v>
          </cell>
          <cell r="T252">
            <v>23.5</v>
          </cell>
          <cell r="U252">
            <v>7870000</v>
          </cell>
          <cell r="V252">
            <v>730000</v>
          </cell>
          <cell r="W252">
            <v>2000000</v>
          </cell>
          <cell r="X252">
            <v>1000000</v>
          </cell>
          <cell r="Y252">
            <v>400000</v>
          </cell>
          <cell r="Z252">
            <v>12000000</v>
          </cell>
          <cell r="AA252">
            <v>11280000</v>
          </cell>
          <cell r="AB252">
            <v>0</v>
          </cell>
          <cell r="AC252">
            <v>0</v>
          </cell>
          <cell r="AD252">
            <v>11280000</v>
          </cell>
          <cell r="AN252">
            <v>0</v>
          </cell>
          <cell r="AQ252">
            <v>11280000</v>
          </cell>
          <cell r="AR252">
            <v>11280000</v>
          </cell>
          <cell r="AS252">
            <v>826350</v>
          </cell>
          <cell r="AT252">
            <v>1692050</v>
          </cell>
          <cell r="AU252">
            <v>39350</v>
          </cell>
          <cell r="AV252">
            <v>157400</v>
          </cell>
          <cell r="AW252">
            <v>15500000</v>
          </cell>
          <cell r="AX252">
            <v>8150000</v>
          </cell>
          <cell r="AY252">
            <v>0</v>
          </cell>
          <cell r="AZ252">
            <v>0</v>
          </cell>
          <cell r="BC252">
            <v>865700</v>
          </cell>
          <cell r="BE252">
            <v>10414300</v>
          </cell>
          <cell r="BF252">
            <v>10414300</v>
          </cell>
          <cell r="BG252" t="str">
            <v>CK</v>
          </cell>
          <cell r="BH252">
            <v>2153567536</v>
          </cell>
          <cell r="BI252" t="str">
            <v>BIDV</v>
          </cell>
        </row>
        <row r="253">
          <cell r="C253" t="str">
            <v>VB00696</v>
          </cell>
          <cell r="D253" t="str">
            <v>HOÀNG THỊ NGỌC ÁNH</v>
          </cell>
          <cell r="E253" t="str">
            <v>Chuyên viên đào tạo</v>
          </cell>
          <cell r="F253" t="str">
            <v>B2</v>
          </cell>
          <cell r="G253">
            <v>46143</v>
          </cell>
          <cell r="H253">
            <v>46143</v>
          </cell>
          <cell r="I253">
            <v>0</v>
          </cell>
          <cell r="J253" t="str">
            <v>Chính thức</v>
          </cell>
          <cell r="K253">
            <v>25</v>
          </cell>
          <cell r="L253">
            <v>24</v>
          </cell>
          <cell r="M253">
            <v>0</v>
          </cell>
          <cell r="T253">
            <v>24</v>
          </cell>
          <cell r="U253">
            <v>7870000</v>
          </cell>
          <cell r="V253">
            <v>730000</v>
          </cell>
          <cell r="W253">
            <v>2000000</v>
          </cell>
          <cell r="X253">
            <v>1000000</v>
          </cell>
          <cell r="Y253">
            <v>400000</v>
          </cell>
          <cell r="Z253">
            <v>12000000</v>
          </cell>
          <cell r="AA253">
            <v>11520000</v>
          </cell>
          <cell r="AB253">
            <v>0</v>
          </cell>
          <cell r="AC253">
            <v>0</v>
          </cell>
          <cell r="AD253">
            <v>11520000</v>
          </cell>
          <cell r="AN253">
            <v>0</v>
          </cell>
          <cell r="AQ253">
            <v>11520000</v>
          </cell>
          <cell r="AR253">
            <v>11520000</v>
          </cell>
          <cell r="AS253">
            <v>826350</v>
          </cell>
          <cell r="AT253">
            <v>1692050</v>
          </cell>
          <cell r="AU253">
            <v>39350</v>
          </cell>
          <cell r="AV253">
            <v>157400</v>
          </cell>
          <cell r="AW253">
            <v>15500000</v>
          </cell>
          <cell r="AX253">
            <v>8390000</v>
          </cell>
          <cell r="AY253">
            <v>0</v>
          </cell>
          <cell r="AZ253">
            <v>0</v>
          </cell>
          <cell r="BC253">
            <v>865700</v>
          </cell>
          <cell r="BE253">
            <v>10654300</v>
          </cell>
          <cell r="BF253">
            <v>10654300</v>
          </cell>
          <cell r="BG253" t="str">
            <v>CK</v>
          </cell>
          <cell r="BH253">
            <v>8898951048</v>
          </cell>
          <cell r="BI253" t="str">
            <v>BIDV</v>
          </cell>
        </row>
        <row r="254">
          <cell r="C254" t="str">
            <v>VB00702</v>
          </cell>
          <cell r="D254" t="str">
            <v>NGUYỄN TÙNG LÂM</v>
          </cell>
          <cell r="E254" t="str">
            <v>Chuyên viên truyền thông -sự kiện</v>
          </cell>
          <cell r="G254">
            <v>46175</v>
          </cell>
          <cell r="H254">
            <v>46236</v>
          </cell>
          <cell r="I254">
            <v>0</v>
          </cell>
          <cell r="J254" t="str">
            <v>Thử việc</v>
          </cell>
          <cell r="K254">
            <v>25</v>
          </cell>
          <cell r="L254">
            <v>0</v>
          </cell>
          <cell r="M254">
            <v>21</v>
          </cell>
          <cell r="T254">
            <v>21</v>
          </cell>
          <cell r="U254">
            <v>15300000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15300000</v>
          </cell>
          <cell r="AA254">
            <v>0</v>
          </cell>
          <cell r="AB254">
            <v>10924200</v>
          </cell>
          <cell r="AC254">
            <v>0</v>
          </cell>
          <cell r="AD254">
            <v>10924200</v>
          </cell>
          <cell r="AN254">
            <v>0</v>
          </cell>
          <cell r="AQ254">
            <v>10924200</v>
          </cell>
          <cell r="AR254">
            <v>10924200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15500000</v>
          </cell>
          <cell r="AX254">
            <v>10924200</v>
          </cell>
          <cell r="AY254">
            <v>10924200</v>
          </cell>
          <cell r="AZ254">
            <v>1092420</v>
          </cell>
          <cell r="BC254">
            <v>1092420</v>
          </cell>
          <cell r="BE254">
            <v>9831780</v>
          </cell>
          <cell r="BF254">
            <v>9831780</v>
          </cell>
          <cell r="BG254" t="str">
            <v>CK</v>
          </cell>
          <cell r="BH254">
            <v>2206052598</v>
          </cell>
          <cell r="BI254" t="str">
            <v>BIDV</v>
          </cell>
        </row>
        <row r="255">
          <cell r="L255">
            <v>405</v>
          </cell>
          <cell r="M255">
            <v>21</v>
          </cell>
          <cell r="N255">
            <v>30</v>
          </cell>
          <cell r="O255">
            <v>24</v>
          </cell>
          <cell r="P255">
            <v>0</v>
          </cell>
          <cell r="Q255">
            <v>18</v>
          </cell>
          <cell r="R255">
            <v>0</v>
          </cell>
          <cell r="S255">
            <v>0</v>
          </cell>
          <cell r="T255">
            <v>426</v>
          </cell>
          <cell r="U255">
            <v>173058000</v>
          </cell>
          <cell r="V255">
            <v>12410000</v>
          </cell>
          <cell r="W255">
            <v>35500000</v>
          </cell>
          <cell r="X255">
            <v>29000000</v>
          </cell>
          <cell r="Y255">
            <v>6800000</v>
          </cell>
          <cell r="Z255">
            <v>256768000</v>
          </cell>
          <cell r="AA255">
            <v>229889280</v>
          </cell>
          <cell r="AB255">
            <v>10924200</v>
          </cell>
          <cell r="AC255">
            <v>0</v>
          </cell>
          <cell r="AD255">
            <v>240813480</v>
          </cell>
          <cell r="AE255">
            <v>3318400</v>
          </cell>
          <cell r="AF255">
            <v>0</v>
          </cell>
          <cell r="AG255">
            <v>0</v>
          </cell>
          <cell r="AH255">
            <v>11500000</v>
          </cell>
          <cell r="AI255">
            <v>1830750</v>
          </cell>
          <cell r="AJ255">
            <v>1888800</v>
          </cell>
          <cell r="AK255">
            <v>0</v>
          </cell>
          <cell r="AL255">
            <v>1739430</v>
          </cell>
          <cell r="AM255">
            <v>2140100</v>
          </cell>
          <cell r="AN255">
            <v>0</v>
          </cell>
          <cell r="AO255">
            <v>0</v>
          </cell>
          <cell r="AP255">
            <v>0</v>
          </cell>
          <cell r="AQ255">
            <v>263230960</v>
          </cell>
          <cell r="AR255">
            <v>263230960</v>
          </cell>
          <cell r="AS255">
            <v>16481210</v>
          </cell>
          <cell r="AT255">
            <v>33834590</v>
          </cell>
          <cell r="AU255">
            <v>747100</v>
          </cell>
          <cell r="AV255">
            <v>2988400</v>
          </cell>
          <cell r="AW255">
            <v>328600000</v>
          </cell>
          <cell r="AX255">
            <v>203061980</v>
          </cell>
          <cell r="AY255">
            <v>10924200</v>
          </cell>
          <cell r="AZ255">
            <v>1092420</v>
          </cell>
          <cell r="BA255">
            <v>0</v>
          </cell>
          <cell r="BB255">
            <v>0</v>
          </cell>
          <cell r="BC255">
            <v>18320730</v>
          </cell>
          <cell r="BD255">
            <v>0</v>
          </cell>
          <cell r="BE255">
            <v>244910230</v>
          </cell>
          <cell r="BF255">
            <v>244910230</v>
          </cell>
        </row>
        <row r="256">
          <cell r="L256" t="e">
            <v>#N/A</v>
          </cell>
          <cell r="M256">
            <v>416.4375</v>
          </cell>
          <cell r="N256">
            <v>1407.5</v>
          </cell>
          <cell r="O256">
            <v>154</v>
          </cell>
          <cell r="P256">
            <v>0</v>
          </cell>
          <cell r="Q256">
            <v>185</v>
          </cell>
          <cell r="R256" t="e">
            <v>#N/A</v>
          </cell>
          <cell r="S256">
            <v>0</v>
          </cell>
          <cell r="T256" t="e">
            <v>#N/A</v>
          </cell>
          <cell r="U256">
            <v>1144104666.6666665</v>
          </cell>
          <cell r="V256">
            <v>137710000</v>
          </cell>
          <cell r="W256">
            <v>114270000</v>
          </cell>
          <cell r="X256">
            <v>82450000</v>
          </cell>
          <cell r="Y256">
            <v>34400000</v>
          </cell>
          <cell r="Z256">
            <v>1512934666.6666667</v>
          </cell>
          <cell r="AA256" t="e">
            <v>#N/A</v>
          </cell>
          <cell r="AB256">
            <v>91092887.500000015</v>
          </cell>
          <cell r="AC256">
            <v>0</v>
          </cell>
          <cell r="AD256" t="e">
            <v>#N/A</v>
          </cell>
          <cell r="AE256">
            <v>3318400</v>
          </cell>
          <cell r="AF256">
            <v>52323504.27350428</v>
          </cell>
          <cell r="AG256">
            <v>6090222.222222222</v>
          </cell>
          <cell r="AH256" t="e">
            <v>#DIV/0!</v>
          </cell>
          <cell r="AI256">
            <v>53714604.166666664</v>
          </cell>
          <cell r="AJ256">
            <v>8484170.3703703694</v>
          </cell>
          <cell r="AK256">
            <v>0</v>
          </cell>
          <cell r="AL256">
            <v>10034291.111111108</v>
          </cell>
          <cell r="AM256">
            <v>2140100</v>
          </cell>
          <cell r="AN256">
            <v>28000000</v>
          </cell>
          <cell r="AO256">
            <v>0</v>
          </cell>
          <cell r="AP256">
            <v>0</v>
          </cell>
          <cell r="AQ256" t="e">
            <v>#DIV/0!</v>
          </cell>
          <cell r="AR256" t="e">
            <v>#DIV/0!</v>
          </cell>
          <cell r="AS256" t="e">
            <v>#N/A</v>
          </cell>
          <cell r="AT256" t="e">
            <v>#N/A</v>
          </cell>
          <cell r="AU256" t="e">
            <v>#N/A</v>
          </cell>
          <cell r="AV256" t="e">
            <v>#N/A</v>
          </cell>
          <cell r="AW256">
            <v>3180600000</v>
          </cell>
          <cell r="AX256" t="e">
            <v>#DIV/0!</v>
          </cell>
          <cell r="AY256" t="e">
            <v>#DIV/0!</v>
          </cell>
          <cell r="AZ256" t="e">
            <v>#DIV/0!</v>
          </cell>
          <cell r="BA256">
            <v>0</v>
          </cell>
          <cell r="BB256">
            <v>15300000</v>
          </cell>
          <cell r="BC256" t="e">
            <v>#DIV/0!</v>
          </cell>
          <cell r="BD256">
            <v>0</v>
          </cell>
          <cell r="BE256" t="e">
            <v>#DIV/0!</v>
          </cell>
          <cell r="BF256" t="e">
            <v>#DIV/0!</v>
          </cell>
        </row>
        <row r="257">
          <cell r="AS257" t="e">
            <v>#N/A</v>
          </cell>
          <cell r="AU257" t="e">
            <v>#N/A</v>
          </cell>
        </row>
        <row r="258">
          <cell r="D258" t="str">
            <v xml:space="preserve">NGƯỜI LẬP BIỂU
</v>
          </cell>
          <cell r="AE258" t="str">
            <v>KẾ TOÁN</v>
          </cell>
          <cell r="AS258" t="str">
            <v xml:space="preserve">GIÁM ĐỐC
</v>
          </cell>
        </row>
        <row r="262">
          <cell r="BF262" t="str">
            <v xml:space="preserve"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"/>
  <sheetViews>
    <sheetView workbookViewId="0">
      <selection activeCell="B15" sqref="B15:B16"/>
    </sheetView>
  </sheetViews>
  <sheetFormatPr defaultRowHeight="12.75"/>
  <cols>
    <col min="1" max="1" width="4.5703125" style="226" customWidth="1"/>
    <col min="2" max="2" width="13.28515625" style="226" customWidth="1"/>
    <col min="3" max="3" width="20" style="226" customWidth="1"/>
    <col min="4" max="4" width="4.7109375" style="226" customWidth="1"/>
    <col min="5" max="35" width="4.7109375" style="226" bestFit="1" customWidth="1"/>
    <col min="36" max="46" width="4.7109375" style="226" customWidth="1"/>
    <col min="47" max="47" width="5.7109375" style="226" customWidth="1"/>
    <col min="48" max="50" width="3.28515625" style="226" bestFit="1" customWidth="1"/>
    <col min="51" max="16384" width="9.140625" style="226"/>
  </cols>
  <sheetData>
    <row r="1" spans="1:50">
      <c r="A1" s="245" t="s">
        <v>128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5"/>
      <c r="AU1" s="245"/>
      <c r="AV1" s="245"/>
      <c r="AW1" s="245"/>
      <c r="AX1" s="245"/>
    </row>
    <row r="2" spans="1:50">
      <c r="A2" s="245" t="s">
        <v>129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S2" s="245"/>
      <c r="AT2" s="245"/>
      <c r="AU2" s="245"/>
      <c r="AV2" s="245"/>
      <c r="AW2" s="245"/>
      <c r="AX2" s="245"/>
    </row>
    <row r="3" spans="1:50" ht="18" customHeight="1">
      <c r="A3" s="246" t="s">
        <v>130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</row>
    <row r="4" spans="1:50">
      <c r="A4" s="247" t="s">
        <v>131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</row>
    <row r="6" spans="1:50" ht="15" customHeight="1">
      <c r="A6" s="248" t="s">
        <v>0</v>
      </c>
      <c r="B6" s="248" t="s">
        <v>132</v>
      </c>
      <c r="C6" s="248" t="s">
        <v>133</v>
      </c>
      <c r="D6" s="248" t="s">
        <v>134</v>
      </c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227">
        <v>31</v>
      </c>
      <c r="AJ6" s="250" t="s">
        <v>135</v>
      </c>
      <c r="AK6" s="251"/>
      <c r="AL6" s="250" t="s">
        <v>136</v>
      </c>
      <c r="AM6" s="251"/>
      <c r="AN6" s="250" t="s">
        <v>137</v>
      </c>
      <c r="AO6" s="251"/>
      <c r="AP6" s="250" t="s">
        <v>138</v>
      </c>
      <c r="AQ6" s="251"/>
      <c r="AR6" s="250" t="s">
        <v>139</v>
      </c>
      <c r="AS6" s="255"/>
      <c r="AT6" s="251"/>
      <c r="AU6" s="248" t="s">
        <v>140</v>
      </c>
      <c r="AV6" s="250" t="s">
        <v>141</v>
      </c>
      <c r="AW6" s="255"/>
      <c r="AX6" s="251"/>
    </row>
    <row r="7" spans="1:50" ht="15" customHeight="1">
      <c r="A7" s="249"/>
      <c r="B7" s="249"/>
      <c r="C7" s="249"/>
      <c r="D7" s="249"/>
      <c r="E7" s="227" t="s">
        <v>142</v>
      </c>
      <c r="F7" s="227" t="s">
        <v>143</v>
      </c>
      <c r="G7" s="227" t="s">
        <v>144</v>
      </c>
      <c r="H7" s="227" t="s">
        <v>145</v>
      </c>
      <c r="I7" s="227" t="s">
        <v>146</v>
      </c>
      <c r="J7" s="227" t="s">
        <v>147</v>
      </c>
      <c r="K7" s="227" t="s">
        <v>148</v>
      </c>
      <c r="L7" s="227" t="s">
        <v>142</v>
      </c>
      <c r="M7" s="227" t="s">
        <v>143</v>
      </c>
      <c r="N7" s="227" t="s">
        <v>144</v>
      </c>
      <c r="O7" s="227" t="s">
        <v>145</v>
      </c>
      <c r="P7" s="227" t="s">
        <v>146</v>
      </c>
      <c r="Q7" s="227" t="s">
        <v>147</v>
      </c>
      <c r="R7" s="227" t="s">
        <v>148</v>
      </c>
      <c r="S7" s="227" t="s">
        <v>142</v>
      </c>
      <c r="T7" s="227" t="s">
        <v>143</v>
      </c>
      <c r="U7" s="227" t="s">
        <v>144</v>
      </c>
      <c r="V7" s="227" t="s">
        <v>145</v>
      </c>
      <c r="W7" s="227" t="s">
        <v>146</v>
      </c>
      <c r="X7" s="227" t="s">
        <v>147</v>
      </c>
      <c r="Y7" s="227" t="s">
        <v>148</v>
      </c>
      <c r="Z7" s="227" t="s">
        <v>142</v>
      </c>
      <c r="AA7" s="227" t="s">
        <v>143</v>
      </c>
      <c r="AB7" s="227" t="s">
        <v>144</v>
      </c>
      <c r="AC7" s="227" t="s">
        <v>145</v>
      </c>
      <c r="AD7" s="227" t="s">
        <v>146</v>
      </c>
      <c r="AE7" s="227" t="s">
        <v>147</v>
      </c>
      <c r="AF7" s="227" t="s">
        <v>148</v>
      </c>
      <c r="AG7" s="227" t="s">
        <v>142</v>
      </c>
      <c r="AH7" s="227" t="s">
        <v>143</v>
      </c>
      <c r="AI7" s="227" t="s">
        <v>144</v>
      </c>
      <c r="AJ7" s="228" t="s">
        <v>149</v>
      </c>
      <c r="AK7" s="228" t="s">
        <v>150</v>
      </c>
      <c r="AL7" s="228" t="s">
        <v>149</v>
      </c>
      <c r="AM7" s="228" t="s">
        <v>150</v>
      </c>
      <c r="AN7" s="228" t="s">
        <v>151</v>
      </c>
      <c r="AO7" s="228" t="s">
        <v>152</v>
      </c>
      <c r="AP7" s="228" t="s">
        <v>151</v>
      </c>
      <c r="AQ7" s="228" t="s">
        <v>152</v>
      </c>
      <c r="AR7" s="228" t="s">
        <v>153</v>
      </c>
      <c r="AS7" s="228" t="s">
        <v>154</v>
      </c>
      <c r="AT7" s="228" t="s">
        <v>155</v>
      </c>
      <c r="AU7" s="249"/>
      <c r="AV7" s="228" t="s">
        <v>156</v>
      </c>
      <c r="AW7" s="228" t="s">
        <v>157</v>
      </c>
      <c r="AX7" s="228" t="s">
        <v>158</v>
      </c>
    </row>
    <row r="8" spans="1:50">
      <c r="A8" s="256" t="s">
        <v>159</v>
      </c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8"/>
    </row>
    <row r="9" spans="1:50">
      <c r="A9" s="252">
        <v>1</v>
      </c>
      <c r="B9" s="252" t="s">
        <v>78</v>
      </c>
      <c r="C9" s="252" t="s">
        <v>160</v>
      </c>
      <c r="D9" s="229" t="s">
        <v>161</v>
      </c>
      <c r="E9" s="229" t="s">
        <v>162</v>
      </c>
      <c r="F9" s="254" t="s">
        <v>163</v>
      </c>
      <c r="G9" s="229" t="s">
        <v>164</v>
      </c>
      <c r="H9" s="229" t="s">
        <v>165</v>
      </c>
      <c r="I9" s="229" t="s">
        <v>166</v>
      </c>
      <c r="J9" s="229" t="s">
        <v>165</v>
      </c>
      <c r="K9" s="229" t="s">
        <v>165</v>
      </c>
      <c r="L9" s="229" t="s">
        <v>167</v>
      </c>
      <c r="M9" s="254" t="s">
        <v>163</v>
      </c>
      <c r="N9" s="229" t="s">
        <v>164</v>
      </c>
      <c r="O9" s="229" t="s">
        <v>168</v>
      </c>
      <c r="P9" s="229" t="s">
        <v>169</v>
      </c>
      <c r="Q9" s="254" t="s">
        <v>163</v>
      </c>
      <c r="R9" s="254" t="s">
        <v>163</v>
      </c>
      <c r="S9" s="229" t="s">
        <v>170</v>
      </c>
      <c r="T9" s="229" t="s">
        <v>167</v>
      </c>
      <c r="U9" s="229" t="s">
        <v>171</v>
      </c>
      <c r="V9" s="229" t="s">
        <v>164</v>
      </c>
      <c r="W9" s="254" t="s">
        <v>172</v>
      </c>
      <c r="X9" s="229" t="s">
        <v>165</v>
      </c>
      <c r="Y9" s="229" t="s">
        <v>165</v>
      </c>
      <c r="Z9" s="229" t="s">
        <v>165</v>
      </c>
      <c r="AA9" s="229" t="s">
        <v>165</v>
      </c>
      <c r="AB9" s="229" t="s">
        <v>173</v>
      </c>
      <c r="AC9" s="229" t="s">
        <v>168</v>
      </c>
      <c r="AD9" s="229" t="s">
        <v>174</v>
      </c>
      <c r="AE9" s="229" t="s">
        <v>173</v>
      </c>
      <c r="AF9" s="229" t="s">
        <v>175</v>
      </c>
      <c r="AG9" s="229" t="s">
        <v>175</v>
      </c>
      <c r="AH9" s="229" t="s">
        <v>173</v>
      </c>
      <c r="AI9" s="229" t="s">
        <v>165</v>
      </c>
      <c r="AJ9" s="252">
        <v>14.29</v>
      </c>
      <c r="AK9" s="252">
        <v>0</v>
      </c>
      <c r="AL9" s="252">
        <v>114.49</v>
      </c>
      <c r="AM9" s="252">
        <v>0</v>
      </c>
      <c r="AN9" s="252">
        <v>19</v>
      </c>
      <c r="AO9" s="252">
        <v>1530</v>
      </c>
      <c r="AP9" s="252">
        <v>0</v>
      </c>
      <c r="AQ9" s="252">
        <v>0</v>
      </c>
      <c r="AR9" s="252">
        <v>61.7</v>
      </c>
      <c r="AS9" s="252">
        <v>0</v>
      </c>
      <c r="AT9" s="252">
        <v>0</v>
      </c>
      <c r="AU9" s="252">
        <v>4</v>
      </c>
      <c r="AV9" s="259">
        <v>0</v>
      </c>
      <c r="AW9" s="259">
        <v>0</v>
      </c>
      <c r="AX9" s="259">
        <v>0</v>
      </c>
    </row>
    <row r="10" spans="1:50">
      <c r="A10" s="253"/>
      <c r="B10" s="253"/>
      <c r="C10" s="253"/>
      <c r="D10" s="230" t="s">
        <v>176</v>
      </c>
      <c r="E10" s="230" t="s">
        <v>177</v>
      </c>
      <c r="F10" s="253"/>
      <c r="G10" s="230" t="s">
        <v>178</v>
      </c>
      <c r="H10" s="230" t="s">
        <v>179</v>
      </c>
      <c r="I10" s="230" t="s">
        <v>178</v>
      </c>
      <c r="J10" s="230" t="s">
        <v>177</v>
      </c>
      <c r="K10" s="230" t="s">
        <v>178</v>
      </c>
      <c r="L10" s="230" t="s">
        <v>177</v>
      </c>
      <c r="M10" s="253"/>
      <c r="N10" s="230" t="s">
        <v>180</v>
      </c>
      <c r="O10" s="230" t="s">
        <v>178</v>
      </c>
      <c r="P10" s="230" t="s">
        <v>179</v>
      </c>
      <c r="Q10" s="253"/>
      <c r="R10" s="253"/>
      <c r="S10" s="230" t="s">
        <v>178</v>
      </c>
      <c r="T10" s="230" t="s">
        <v>178</v>
      </c>
      <c r="U10" s="230" t="s">
        <v>181</v>
      </c>
      <c r="V10" s="230" t="s">
        <v>182</v>
      </c>
      <c r="W10" s="253"/>
      <c r="X10" s="230" t="s">
        <v>178</v>
      </c>
      <c r="Y10" s="230" t="s">
        <v>182</v>
      </c>
      <c r="Z10" s="230" t="s">
        <v>183</v>
      </c>
      <c r="AA10" s="230" t="s">
        <v>184</v>
      </c>
      <c r="AB10" s="230" t="s">
        <v>177</v>
      </c>
      <c r="AC10" s="230" t="s">
        <v>178</v>
      </c>
      <c r="AD10" s="230" t="s">
        <v>178</v>
      </c>
      <c r="AE10" s="230" t="s">
        <v>177</v>
      </c>
      <c r="AF10" s="230" t="s">
        <v>180</v>
      </c>
      <c r="AG10" s="230" t="s">
        <v>178</v>
      </c>
      <c r="AH10" s="230" t="s">
        <v>185</v>
      </c>
      <c r="AI10" s="230" t="s">
        <v>186</v>
      </c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60"/>
      <c r="AW10" s="260"/>
      <c r="AX10" s="260"/>
    </row>
    <row r="11" spans="1:50">
      <c r="A11" s="252">
        <v>2</v>
      </c>
      <c r="B11" s="252" t="s">
        <v>80</v>
      </c>
      <c r="C11" s="252" t="s">
        <v>187</v>
      </c>
      <c r="D11" s="229" t="s">
        <v>161</v>
      </c>
      <c r="E11" s="229" t="s">
        <v>165</v>
      </c>
      <c r="F11" s="229" t="s">
        <v>170</v>
      </c>
      <c r="G11" s="229" t="s">
        <v>188</v>
      </c>
      <c r="H11" s="229" t="s">
        <v>170</v>
      </c>
      <c r="I11" s="229" t="s">
        <v>164</v>
      </c>
      <c r="J11" s="254" t="s">
        <v>163</v>
      </c>
      <c r="K11" s="254" t="s">
        <v>163</v>
      </c>
      <c r="L11" s="229" t="s">
        <v>175</v>
      </c>
      <c r="M11" s="229" t="s">
        <v>170</v>
      </c>
      <c r="N11" s="229" t="s">
        <v>171</v>
      </c>
      <c r="O11" s="229" t="s">
        <v>167</v>
      </c>
      <c r="P11" s="229" t="s">
        <v>189</v>
      </c>
      <c r="Q11" s="229" t="s">
        <v>165</v>
      </c>
      <c r="R11" s="229" t="s">
        <v>165</v>
      </c>
      <c r="S11" s="229" t="s">
        <v>167</v>
      </c>
      <c r="T11" s="254" t="s">
        <v>163</v>
      </c>
      <c r="U11" s="229" t="s">
        <v>190</v>
      </c>
      <c r="V11" s="229" t="s">
        <v>189</v>
      </c>
      <c r="W11" s="229" t="s">
        <v>175</v>
      </c>
      <c r="X11" s="254" t="s">
        <v>163</v>
      </c>
      <c r="Y11" s="229" t="s">
        <v>165</v>
      </c>
      <c r="Z11" s="229" t="s">
        <v>191</v>
      </c>
      <c r="AA11" s="229" t="s">
        <v>165</v>
      </c>
      <c r="AB11" s="229" t="s">
        <v>192</v>
      </c>
      <c r="AC11" s="229" t="s">
        <v>173</v>
      </c>
      <c r="AD11" s="229" t="s">
        <v>174</v>
      </c>
      <c r="AE11" s="229" t="s">
        <v>164</v>
      </c>
      <c r="AF11" s="229" t="s">
        <v>174</v>
      </c>
      <c r="AG11" s="254" t="s">
        <v>163</v>
      </c>
      <c r="AH11" s="229" t="s">
        <v>174</v>
      </c>
      <c r="AI11" s="229" t="s">
        <v>164</v>
      </c>
      <c r="AJ11" s="252">
        <v>11.76</v>
      </c>
      <c r="AK11" s="252">
        <v>0</v>
      </c>
      <c r="AL11" s="252">
        <v>94.280010000000004</v>
      </c>
      <c r="AM11" s="252">
        <v>0</v>
      </c>
      <c r="AN11" s="252">
        <v>18</v>
      </c>
      <c r="AO11" s="252">
        <v>1303</v>
      </c>
      <c r="AP11" s="252">
        <v>0</v>
      </c>
      <c r="AQ11" s="252">
        <v>0</v>
      </c>
      <c r="AR11" s="252">
        <v>69.92</v>
      </c>
      <c r="AS11" s="252">
        <v>0</v>
      </c>
      <c r="AT11" s="252">
        <v>0</v>
      </c>
      <c r="AU11" s="252">
        <v>5</v>
      </c>
      <c r="AV11" s="259">
        <v>0</v>
      </c>
      <c r="AW11" s="259">
        <v>0</v>
      </c>
      <c r="AX11" s="259">
        <v>0</v>
      </c>
    </row>
    <row r="12" spans="1:50">
      <c r="A12" s="253"/>
      <c r="B12" s="253"/>
      <c r="C12" s="253"/>
      <c r="D12" s="230" t="s">
        <v>176</v>
      </c>
      <c r="E12" s="230" t="s">
        <v>178</v>
      </c>
      <c r="F12" s="230" t="s">
        <v>178</v>
      </c>
      <c r="G12" s="230" t="s">
        <v>179</v>
      </c>
      <c r="H12" s="230" t="s">
        <v>180</v>
      </c>
      <c r="I12" s="230" t="s">
        <v>180</v>
      </c>
      <c r="J12" s="253"/>
      <c r="K12" s="253"/>
      <c r="L12" s="230" t="s">
        <v>180</v>
      </c>
      <c r="M12" s="230" t="s">
        <v>178</v>
      </c>
      <c r="N12" s="230" t="s">
        <v>177</v>
      </c>
      <c r="O12" s="230" t="s">
        <v>179</v>
      </c>
      <c r="P12" s="230" t="s">
        <v>180</v>
      </c>
      <c r="Q12" s="230" t="s">
        <v>180</v>
      </c>
      <c r="R12" s="230" t="s">
        <v>177</v>
      </c>
      <c r="S12" s="230" t="s">
        <v>183</v>
      </c>
      <c r="T12" s="253"/>
      <c r="U12" s="230" t="s">
        <v>180</v>
      </c>
      <c r="V12" s="230" t="s">
        <v>178</v>
      </c>
      <c r="W12" s="230" t="s">
        <v>183</v>
      </c>
      <c r="X12" s="253"/>
      <c r="Y12" s="230" t="s">
        <v>182</v>
      </c>
      <c r="Z12" s="230" t="s">
        <v>178</v>
      </c>
      <c r="AA12" s="230" t="s">
        <v>184</v>
      </c>
      <c r="AB12" s="230" t="s">
        <v>193</v>
      </c>
      <c r="AC12" s="230" t="s">
        <v>180</v>
      </c>
      <c r="AD12" s="230" t="s">
        <v>194</v>
      </c>
      <c r="AE12" s="230" t="s">
        <v>178</v>
      </c>
      <c r="AF12" s="230" t="s">
        <v>180</v>
      </c>
      <c r="AG12" s="253"/>
      <c r="AH12" s="230" t="s">
        <v>178</v>
      </c>
      <c r="AI12" s="230" t="s">
        <v>180</v>
      </c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3"/>
      <c r="AU12" s="253"/>
      <c r="AV12" s="260"/>
      <c r="AW12" s="260"/>
      <c r="AX12" s="260"/>
    </row>
    <row r="13" spans="1:50">
      <c r="A13" s="252">
        <v>3</v>
      </c>
      <c r="B13" s="252" t="s">
        <v>96</v>
      </c>
      <c r="C13" s="252" t="s">
        <v>195</v>
      </c>
      <c r="D13" s="229" t="s">
        <v>161</v>
      </c>
      <c r="E13" s="229" t="s">
        <v>164</v>
      </c>
      <c r="F13" s="229" t="s">
        <v>196</v>
      </c>
      <c r="G13" s="254" t="s">
        <v>163</v>
      </c>
      <c r="H13" s="229" t="s">
        <v>165</v>
      </c>
      <c r="I13" s="229" t="s">
        <v>171</v>
      </c>
      <c r="J13" s="229" t="s">
        <v>164</v>
      </c>
      <c r="K13" s="229" t="s">
        <v>171</v>
      </c>
      <c r="L13" s="229" t="s">
        <v>197</v>
      </c>
      <c r="M13" s="229" t="s">
        <v>175</v>
      </c>
      <c r="N13" s="254" t="s">
        <v>163</v>
      </c>
      <c r="O13" s="229" t="s">
        <v>168</v>
      </c>
      <c r="P13" s="229" t="s">
        <v>169</v>
      </c>
      <c r="Q13" s="229" t="s">
        <v>191</v>
      </c>
      <c r="R13" s="229" t="s">
        <v>196</v>
      </c>
      <c r="S13" s="254" t="s">
        <v>163</v>
      </c>
      <c r="T13" s="229" t="s">
        <v>175</v>
      </c>
      <c r="U13" s="229" t="s">
        <v>171</v>
      </c>
      <c r="V13" s="229" t="s">
        <v>164</v>
      </c>
      <c r="W13" s="229" t="s">
        <v>175</v>
      </c>
      <c r="X13" s="229" t="s">
        <v>173</v>
      </c>
      <c r="Y13" s="229" t="s">
        <v>171</v>
      </c>
      <c r="Z13" s="229" t="s">
        <v>167</v>
      </c>
      <c r="AA13" s="229" t="s">
        <v>198</v>
      </c>
      <c r="AB13" s="254" t="s">
        <v>163</v>
      </c>
      <c r="AC13" s="254" t="s">
        <v>172</v>
      </c>
      <c r="AD13" s="254" t="s">
        <v>172</v>
      </c>
      <c r="AE13" s="254" t="s">
        <v>163</v>
      </c>
      <c r="AF13" s="254" t="s">
        <v>163</v>
      </c>
      <c r="AG13" s="254" t="s">
        <v>163</v>
      </c>
      <c r="AH13" s="254" t="s">
        <v>163</v>
      </c>
      <c r="AI13" s="254" t="s">
        <v>163</v>
      </c>
      <c r="AJ13" s="252">
        <v>9.31</v>
      </c>
      <c r="AK13" s="252">
        <v>0</v>
      </c>
      <c r="AL13" s="252">
        <v>74.64</v>
      </c>
      <c r="AM13" s="252">
        <v>0</v>
      </c>
      <c r="AN13" s="252">
        <v>14</v>
      </c>
      <c r="AO13" s="252">
        <v>1042</v>
      </c>
      <c r="AP13" s="252">
        <v>0</v>
      </c>
      <c r="AQ13" s="252">
        <v>0</v>
      </c>
      <c r="AR13" s="252">
        <v>53.54</v>
      </c>
      <c r="AS13" s="252">
        <v>0</v>
      </c>
      <c r="AT13" s="252">
        <v>0</v>
      </c>
      <c r="AU13" s="252">
        <v>9</v>
      </c>
      <c r="AV13" s="259">
        <v>0</v>
      </c>
      <c r="AW13" s="259">
        <v>0</v>
      </c>
      <c r="AX13" s="259">
        <v>0</v>
      </c>
    </row>
    <row r="14" spans="1:50">
      <c r="A14" s="253"/>
      <c r="B14" s="253"/>
      <c r="C14" s="253"/>
      <c r="D14" s="230" t="s">
        <v>176</v>
      </c>
      <c r="E14" s="230" t="s">
        <v>178</v>
      </c>
      <c r="F14" s="230" t="s">
        <v>178</v>
      </c>
      <c r="G14" s="253"/>
      <c r="H14" s="230" t="s">
        <v>179</v>
      </c>
      <c r="I14" s="230" t="s">
        <v>183</v>
      </c>
      <c r="J14" s="230" t="s">
        <v>180</v>
      </c>
      <c r="K14" s="230" t="s">
        <v>177</v>
      </c>
      <c r="L14" s="230" t="s">
        <v>180</v>
      </c>
      <c r="M14" s="230" t="s">
        <v>178</v>
      </c>
      <c r="N14" s="253"/>
      <c r="O14" s="230" t="s">
        <v>178</v>
      </c>
      <c r="P14" s="230" t="s">
        <v>179</v>
      </c>
      <c r="Q14" s="230" t="s">
        <v>180</v>
      </c>
      <c r="R14" s="230" t="s">
        <v>199</v>
      </c>
      <c r="S14" s="253"/>
      <c r="T14" s="230" t="s">
        <v>178</v>
      </c>
      <c r="U14" s="230" t="s">
        <v>200</v>
      </c>
      <c r="V14" s="230" t="s">
        <v>201</v>
      </c>
      <c r="W14" s="230" t="s">
        <v>178</v>
      </c>
      <c r="X14" s="230" t="s">
        <v>179</v>
      </c>
      <c r="Y14" s="230" t="s">
        <v>178</v>
      </c>
      <c r="Z14" s="230" t="s">
        <v>182</v>
      </c>
      <c r="AA14" s="230" t="s">
        <v>180</v>
      </c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60"/>
      <c r="AW14" s="260"/>
      <c r="AX14" s="260"/>
    </row>
    <row r="15" spans="1:50">
      <c r="A15" s="252">
        <v>4</v>
      </c>
      <c r="B15" s="252" t="s">
        <v>109</v>
      </c>
      <c r="C15" s="252" t="s">
        <v>202</v>
      </c>
      <c r="D15" s="229" t="s">
        <v>161</v>
      </c>
      <c r="E15" s="254" t="s">
        <v>163</v>
      </c>
      <c r="F15" s="229" t="s">
        <v>196</v>
      </c>
      <c r="G15" s="229" t="s">
        <v>171</v>
      </c>
      <c r="H15" s="229" t="s">
        <v>168</v>
      </c>
      <c r="I15" s="229" t="s">
        <v>188</v>
      </c>
      <c r="J15" s="229" t="s">
        <v>165</v>
      </c>
      <c r="K15" s="229" t="s">
        <v>191</v>
      </c>
      <c r="L15" s="254" t="s">
        <v>163</v>
      </c>
      <c r="M15" s="229" t="s">
        <v>188</v>
      </c>
      <c r="N15" s="229" t="s">
        <v>171</v>
      </c>
      <c r="O15" s="229" t="s">
        <v>188</v>
      </c>
      <c r="P15" s="229" t="s">
        <v>203</v>
      </c>
      <c r="Q15" s="229" t="s">
        <v>171</v>
      </c>
      <c r="R15" s="229" t="s">
        <v>170</v>
      </c>
      <c r="S15" s="229" t="s">
        <v>167</v>
      </c>
      <c r="T15" s="229" t="s">
        <v>167</v>
      </c>
      <c r="U15" s="229" t="s">
        <v>168</v>
      </c>
      <c r="V15" s="229" t="s">
        <v>171</v>
      </c>
      <c r="W15" s="229" t="s">
        <v>166</v>
      </c>
      <c r="X15" s="229" t="s">
        <v>168</v>
      </c>
      <c r="Y15" s="254" t="s">
        <v>163</v>
      </c>
      <c r="Z15" s="254" t="s">
        <v>163</v>
      </c>
      <c r="AA15" s="229" t="s">
        <v>198</v>
      </c>
      <c r="AB15" s="229" t="s">
        <v>165</v>
      </c>
      <c r="AC15" s="229" t="s">
        <v>173</v>
      </c>
      <c r="AD15" s="229" t="s">
        <v>204</v>
      </c>
      <c r="AE15" s="229" t="s">
        <v>173</v>
      </c>
      <c r="AF15" s="254" t="s">
        <v>163</v>
      </c>
      <c r="AG15" s="229" t="s">
        <v>175</v>
      </c>
      <c r="AH15" s="229" t="s">
        <v>205</v>
      </c>
      <c r="AI15" s="229" t="s">
        <v>165</v>
      </c>
      <c r="AJ15" s="252">
        <v>12.18</v>
      </c>
      <c r="AK15" s="252">
        <v>0</v>
      </c>
      <c r="AL15" s="252">
        <v>97.53</v>
      </c>
      <c r="AM15" s="252">
        <v>0</v>
      </c>
      <c r="AN15" s="252">
        <v>18</v>
      </c>
      <c r="AO15" s="252">
        <v>1347</v>
      </c>
      <c r="AP15" s="252">
        <v>0</v>
      </c>
      <c r="AQ15" s="252">
        <v>0</v>
      </c>
      <c r="AR15" s="252">
        <v>65.259990000000002</v>
      </c>
      <c r="AS15" s="252">
        <v>0</v>
      </c>
      <c r="AT15" s="252">
        <v>0</v>
      </c>
      <c r="AU15" s="252">
        <v>5</v>
      </c>
      <c r="AV15" s="259">
        <v>0</v>
      </c>
      <c r="AW15" s="259">
        <v>0</v>
      </c>
      <c r="AX15" s="259">
        <v>0</v>
      </c>
    </row>
    <row r="16" spans="1:50">
      <c r="A16" s="253"/>
      <c r="B16" s="253"/>
      <c r="C16" s="253"/>
      <c r="D16" s="230" t="s">
        <v>176</v>
      </c>
      <c r="E16" s="253"/>
      <c r="F16" s="230" t="s">
        <v>179</v>
      </c>
      <c r="G16" s="230" t="s">
        <v>178</v>
      </c>
      <c r="H16" s="230" t="s">
        <v>180</v>
      </c>
      <c r="I16" s="230" t="s">
        <v>206</v>
      </c>
      <c r="J16" s="230" t="s">
        <v>180</v>
      </c>
      <c r="K16" s="230" t="s">
        <v>178</v>
      </c>
      <c r="L16" s="253"/>
      <c r="M16" s="230" t="s">
        <v>177</v>
      </c>
      <c r="N16" s="230" t="s">
        <v>180</v>
      </c>
      <c r="O16" s="230" t="s">
        <v>177</v>
      </c>
      <c r="P16" s="230" t="s">
        <v>180</v>
      </c>
      <c r="Q16" s="230" t="s">
        <v>207</v>
      </c>
      <c r="R16" s="230" t="s">
        <v>199</v>
      </c>
      <c r="S16" s="230" t="s">
        <v>178</v>
      </c>
      <c r="T16" s="230" t="s">
        <v>178</v>
      </c>
      <c r="U16" s="230" t="s">
        <v>180</v>
      </c>
      <c r="V16" s="230" t="s">
        <v>183</v>
      </c>
      <c r="W16" s="230" t="s">
        <v>178</v>
      </c>
      <c r="X16" s="230" t="s">
        <v>178</v>
      </c>
      <c r="Y16" s="253"/>
      <c r="Z16" s="253"/>
      <c r="AA16" s="230" t="s">
        <v>180</v>
      </c>
      <c r="AB16" s="230" t="s">
        <v>193</v>
      </c>
      <c r="AC16" s="230" t="s">
        <v>177</v>
      </c>
      <c r="AD16" s="230" t="s">
        <v>178</v>
      </c>
      <c r="AE16" s="230" t="s">
        <v>178</v>
      </c>
      <c r="AF16" s="253"/>
      <c r="AG16" s="230" t="s">
        <v>178</v>
      </c>
      <c r="AH16" s="230" t="s">
        <v>178</v>
      </c>
      <c r="AI16" s="230" t="s">
        <v>180</v>
      </c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60"/>
      <c r="AW16" s="260"/>
      <c r="AX16" s="260"/>
    </row>
    <row r="18" spans="4:5">
      <c r="D18" s="226" t="s">
        <v>208</v>
      </c>
    </row>
    <row r="19" spans="4:5">
      <c r="E19" s="226" t="s">
        <v>209</v>
      </c>
    </row>
    <row r="20" spans="4:5">
      <c r="E20" s="226" t="s">
        <v>210</v>
      </c>
    </row>
    <row r="21" spans="4:5">
      <c r="E21" s="226" t="s">
        <v>211</v>
      </c>
    </row>
    <row r="22" spans="4:5">
      <c r="E22" s="226" t="s">
        <v>212</v>
      </c>
    </row>
    <row r="23" spans="4:5">
      <c r="E23" s="226" t="s">
        <v>213</v>
      </c>
    </row>
  </sheetData>
  <mergeCells count="114">
    <mergeCell ref="AW15:AW16"/>
    <mergeCell ref="AX15:AX16"/>
    <mergeCell ref="AM15:AM16"/>
    <mergeCell ref="AN15:AN16"/>
    <mergeCell ref="AO15:AO16"/>
    <mergeCell ref="AP15:AP16"/>
    <mergeCell ref="AQ15:AQ16"/>
    <mergeCell ref="AR15:AR16"/>
    <mergeCell ref="Y15:Y16"/>
    <mergeCell ref="Z15:Z16"/>
    <mergeCell ref="AF15:AF16"/>
    <mergeCell ref="AJ15:AJ16"/>
    <mergeCell ref="AK15:AK16"/>
    <mergeCell ref="AL15:AL16"/>
    <mergeCell ref="AT13:AT14"/>
    <mergeCell ref="AU13:AU14"/>
    <mergeCell ref="AV13:AV14"/>
    <mergeCell ref="AG13:AG14"/>
    <mergeCell ref="AS15:AS16"/>
    <mergeCell ref="AT15:AT16"/>
    <mergeCell ref="AU15:AU16"/>
    <mergeCell ref="AV15:AV16"/>
    <mergeCell ref="AW13:AW14"/>
    <mergeCell ref="AX13:AX14"/>
    <mergeCell ref="A15:A16"/>
    <mergeCell ref="B15:B16"/>
    <mergeCell ref="C15:C16"/>
    <mergeCell ref="E15:E16"/>
    <mergeCell ref="L15:L16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13:A14"/>
    <mergeCell ref="B13:B14"/>
    <mergeCell ref="C13:C14"/>
    <mergeCell ref="G13:G14"/>
    <mergeCell ref="N13:N14"/>
    <mergeCell ref="S13:S14"/>
    <mergeCell ref="AS11:AS12"/>
    <mergeCell ref="AT11:AT12"/>
    <mergeCell ref="AU11:AU12"/>
    <mergeCell ref="T11:T12"/>
    <mergeCell ref="X11:X12"/>
    <mergeCell ref="AG11:AG12"/>
    <mergeCell ref="AJ11:AJ12"/>
    <mergeCell ref="AK11:AK12"/>
    <mergeCell ref="AL11:AL12"/>
    <mergeCell ref="AV11:AV12"/>
    <mergeCell ref="AW11:AW12"/>
    <mergeCell ref="AX11:AX12"/>
    <mergeCell ref="AM11:AM12"/>
    <mergeCell ref="AN11:AN12"/>
    <mergeCell ref="AO11:AO12"/>
    <mergeCell ref="AP11:AP12"/>
    <mergeCell ref="AQ11:AQ12"/>
    <mergeCell ref="AR11:AR12"/>
    <mergeCell ref="A11:A12"/>
    <mergeCell ref="B11:B12"/>
    <mergeCell ref="C11:C12"/>
    <mergeCell ref="J11:J12"/>
    <mergeCell ref="K11:K12"/>
    <mergeCell ref="AN9:AN10"/>
    <mergeCell ref="AO9:AO10"/>
    <mergeCell ref="AP9:AP10"/>
    <mergeCell ref="AQ9:AQ10"/>
    <mergeCell ref="R9:R10"/>
    <mergeCell ref="W9:W10"/>
    <mergeCell ref="AJ9:AJ10"/>
    <mergeCell ref="AK9:AK10"/>
    <mergeCell ref="AL9:AL10"/>
    <mergeCell ref="AM9:AM10"/>
    <mergeCell ref="A9:A10"/>
    <mergeCell ref="B9:B10"/>
    <mergeCell ref="C9:C10"/>
    <mergeCell ref="F9:F10"/>
    <mergeCell ref="M9:M10"/>
    <mergeCell ref="Q9:Q10"/>
    <mergeCell ref="AN6:AO6"/>
    <mergeCell ref="AP6:AQ6"/>
    <mergeCell ref="AR6:AT6"/>
    <mergeCell ref="AU6:AU7"/>
    <mergeCell ref="AV6:AX6"/>
    <mergeCell ref="A8:AX8"/>
    <mergeCell ref="AT9:AT10"/>
    <mergeCell ref="AU9:AU10"/>
    <mergeCell ref="AV9:AV10"/>
    <mergeCell ref="AW9:AW10"/>
    <mergeCell ref="AX9:AX10"/>
    <mergeCell ref="AR9:AR10"/>
    <mergeCell ref="AS9:AS10"/>
    <mergeCell ref="A1:AX1"/>
    <mergeCell ref="A2:AX2"/>
    <mergeCell ref="A3:AX3"/>
    <mergeCell ref="A4:AX4"/>
    <mergeCell ref="A6:A7"/>
    <mergeCell ref="B6:B7"/>
    <mergeCell ref="C6:C7"/>
    <mergeCell ref="D6:D7"/>
    <mergeCell ref="AJ6:AK6"/>
    <mergeCell ref="AL6:AM6"/>
  </mergeCells>
  <pageMargins left="0.16" right="0.16" top="0.1" bottom="0.1" header="0.25" footer="0.16"/>
  <pageSetup paperSize="9" scale="56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41"/>
  <sheetViews>
    <sheetView view="pageBreakPreview" zoomScale="80" zoomScaleNormal="80" zoomScaleSheetLayoutView="80" workbookViewId="0">
      <selection activeCell="D6" sqref="D6:AH10"/>
    </sheetView>
  </sheetViews>
  <sheetFormatPr defaultColWidth="8.85546875" defaultRowHeight="11.25"/>
  <cols>
    <col min="1" max="1" width="5.28515625" style="40" customWidth="1"/>
    <col min="2" max="2" width="24.7109375" style="21" customWidth="1"/>
    <col min="3" max="3" width="8.5703125" style="21" customWidth="1"/>
    <col min="4" max="34" width="5" style="35" customWidth="1"/>
    <col min="35" max="35" width="5.5703125" style="37" customWidth="1"/>
    <col min="36" max="37" width="5.5703125" style="35" customWidth="1"/>
    <col min="38" max="38" width="7.5703125" style="35" customWidth="1"/>
    <col min="39" max="40" width="9.42578125" style="21" customWidth="1"/>
    <col min="41" max="41" width="8.5703125" style="21" customWidth="1"/>
    <col min="42" max="42" width="11" style="21" customWidth="1"/>
    <col min="43" max="43" width="8.28515625" style="21" customWidth="1"/>
    <col min="44" max="44" width="20.7109375" style="21" customWidth="1"/>
    <col min="45" max="45" width="15.5703125" style="21" customWidth="1"/>
    <col min="46" max="16384" width="8.85546875" style="21"/>
  </cols>
  <sheetData>
    <row r="1" spans="1:45" ht="21.75" customHeight="1">
      <c r="A1" s="14" t="s">
        <v>20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</row>
    <row r="2" spans="1:45" ht="21.75" customHeight="1">
      <c r="A2" s="14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</row>
    <row r="3" spans="1:45" ht="48" customHeight="1">
      <c r="A3" s="274" t="s">
        <v>120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3" t="s">
        <v>51</v>
      </c>
      <c r="AO3" s="273"/>
      <c r="AP3" s="93">
        <v>27</v>
      </c>
      <c r="AQ3" s="46"/>
      <c r="AS3" s="225" t="s">
        <v>118</v>
      </c>
    </row>
    <row r="4" spans="1:45" s="23" customFormat="1" ht="36.75" customHeight="1">
      <c r="A4" s="276" t="s">
        <v>0</v>
      </c>
      <c r="B4" s="276" t="s">
        <v>1</v>
      </c>
      <c r="C4" s="276" t="s">
        <v>2</v>
      </c>
      <c r="D4" s="217">
        <v>46204</v>
      </c>
      <c r="E4" s="217">
        <f>D4+1</f>
        <v>46205</v>
      </c>
      <c r="F4" s="217">
        <f t="shared" ref="F4:AH4" si="0">E4+1</f>
        <v>46206</v>
      </c>
      <c r="G4" s="217">
        <f t="shared" si="0"/>
        <v>46207</v>
      </c>
      <c r="H4" s="217">
        <f t="shared" si="0"/>
        <v>46208</v>
      </c>
      <c r="I4" s="217">
        <f t="shared" si="0"/>
        <v>46209</v>
      </c>
      <c r="J4" s="217">
        <f t="shared" si="0"/>
        <v>46210</v>
      </c>
      <c r="K4" s="217">
        <f t="shared" si="0"/>
        <v>46211</v>
      </c>
      <c r="L4" s="217">
        <f t="shared" si="0"/>
        <v>46212</v>
      </c>
      <c r="M4" s="217">
        <f t="shared" si="0"/>
        <v>46213</v>
      </c>
      <c r="N4" s="217">
        <f t="shared" si="0"/>
        <v>46214</v>
      </c>
      <c r="O4" s="217">
        <f t="shared" si="0"/>
        <v>46215</v>
      </c>
      <c r="P4" s="217">
        <f t="shared" si="0"/>
        <v>46216</v>
      </c>
      <c r="Q4" s="217">
        <f t="shared" si="0"/>
        <v>46217</v>
      </c>
      <c r="R4" s="217">
        <f t="shared" si="0"/>
        <v>46218</v>
      </c>
      <c r="S4" s="217">
        <f t="shared" si="0"/>
        <v>46219</v>
      </c>
      <c r="T4" s="217">
        <f t="shared" si="0"/>
        <v>46220</v>
      </c>
      <c r="U4" s="217">
        <f t="shared" si="0"/>
        <v>46221</v>
      </c>
      <c r="V4" s="217">
        <f t="shared" si="0"/>
        <v>46222</v>
      </c>
      <c r="W4" s="217">
        <f t="shared" si="0"/>
        <v>46223</v>
      </c>
      <c r="X4" s="217">
        <f t="shared" si="0"/>
        <v>46224</v>
      </c>
      <c r="Y4" s="217">
        <f t="shared" si="0"/>
        <v>46225</v>
      </c>
      <c r="Z4" s="217">
        <f t="shared" si="0"/>
        <v>46226</v>
      </c>
      <c r="AA4" s="217">
        <f t="shared" si="0"/>
        <v>46227</v>
      </c>
      <c r="AB4" s="217">
        <f t="shared" si="0"/>
        <v>46228</v>
      </c>
      <c r="AC4" s="217">
        <f t="shared" si="0"/>
        <v>46229</v>
      </c>
      <c r="AD4" s="217">
        <f t="shared" si="0"/>
        <v>46230</v>
      </c>
      <c r="AE4" s="217">
        <f>AD4+1</f>
        <v>46231</v>
      </c>
      <c r="AF4" s="217">
        <f t="shared" si="0"/>
        <v>46232</v>
      </c>
      <c r="AG4" s="217">
        <f t="shared" si="0"/>
        <v>46233</v>
      </c>
      <c r="AH4" s="217">
        <f t="shared" si="0"/>
        <v>46234</v>
      </c>
      <c r="AI4" s="277" t="s">
        <v>3</v>
      </c>
      <c r="AJ4" s="278" t="s">
        <v>57</v>
      </c>
      <c r="AK4" s="279" t="s">
        <v>100</v>
      </c>
      <c r="AL4" s="284" t="s">
        <v>101</v>
      </c>
      <c r="AM4" s="264" t="s">
        <v>4</v>
      </c>
      <c r="AN4" s="264" t="s">
        <v>5</v>
      </c>
      <c r="AO4" s="280" t="s">
        <v>46</v>
      </c>
      <c r="AP4" s="265" t="s">
        <v>40</v>
      </c>
      <c r="AQ4" s="288" t="s">
        <v>41</v>
      </c>
      <c r="AR4" s="288" t="s">
        <v>7</v>
      </c>
    </row>
    <row r="5" spans="1:45" s="23" customFormat="1" ht="61.5" customHeight="1">
      <c r="A5" s="276"/>
      <c r="B5" s="276"/>
      <c r="C5" s="276"/>
      <c r="D5" s="218" t="str">
        <f t="shared" ref="D5:AH5" si="1">IF(WEEKDAY(D4)=1,"CN","T "&amp;WEEKDAY(D4))</f>
        <v>T 4</v>
      </c>
      <c r="E5" s="218" t="str">
        <f t="shared" si="1"/>
        <v>T 5</v>
      </c>
      <c r="F5" s="218" t="str">
        <f t="shared" si="1"/>
        <v>T 6</v>
      </c>
      <c r="G5" s="218" t="str">
        <f t="shared" si="1"/>
        <v>T 7</v>
      </c>
      <c r="H5" s="218" t="str">
        <f t="shared" si="1"/>
        <v>CN</v>
      </c>
      <c r="I5" s="218" t="str">
        <f t="shared" si="1"/>
        <v>T 2</v>
      </c>
      <c r="J5" s="218" t="str">
        <f t="shared" si="1"/>
        <v>T 3</v>
      </c>
      <c r="K5" s="218" t="str">
        <f t="shared" si="1"/>
        <v>T 4</v>
      </c>
      <c r="L5" s="218" t="str">
        <f t="shared" si="1"/>
        <v>T 5</v>
      </c>
      <c r="M5" s="218" t="str">
        <f t="shared" si="1"/>
        <v>T 6</v>
      </c>
      <c r="N5" s="218" t="str">
        <f t="shared" si="1"/>
        <v>T 7</v>
      </c>
      <c r="O5" s="218" t="str">
        <f t="shared" si="1"/>
        <v>CN</v>
      </c>
      <c r="P5" s="218" t="str">
        <f t="shared" si="1"/>
        <v>T 2</v>
      </c>
      <c r="Q5" s="218" t="str">
        <f t="shared" si="1"/>
        <v>T 3</v>
      </c>
      <c r="R5" s="218" t="str">
        <f t="shared" si="1"/>
        <v>T 4</v>
      </c>
      <c r="S5" s="218" t="str">
        <f t="shared" si="1"/>
        <v>T 5</v>
      </c>
      <c r="T5" s="218" t="str">
        <f t="shared" si="1"/>
        <v>T 6</v>
      </c>
      <c r="U5" s="218" t="str">
        <f t="shared" si="1"/>
        <v>T 7</v>
      </c>
      <c r="V5" s="218" t="str">
        <f t="shared" si="1"/>
        <v>CN</v>
      </c>
      <c r="W5" s="218" t="str">
        <f t="shared" si="1"/>
        <v>T 2</v>
      </c>
      <c r="X5" s="218" t="str">
        <f t="shared" si="1"/>
        <v>T 3</v>
      </c>
      <c r="Y5" s="218" t="str">
        <f t="shared" si="1"/>
        <v>T 4</v>
      </c>
      <c r="Z5" s="218" t="str">
        <f t="shared" si="1"/>
        <v>T 5</v>
      </c>
      <c r="AA5" s="218" t="str">
        <f t="shared" si="1"/>
        <v>T 6</v>
      </c>
      <c r="AB5" s="218" t="str">
        <f t="shared" si="1"/>
        <v>T 7</v>
      </c>
      <c r="AC5" s="218" t="str">
        <f t="shared" si="1"/>
        <v>CN</v>
      </c>
      <c r="AD5" s="218" t="str">
        <f t="shared" si="1"/>
        <v>T 2</v>
      </c>
      <c r="AE5" s="218" t="str">
        <f t="shared" si="1"/>
        <v>T 3</v>
      </c>
      <c r="AF5" s="218" t="str">
        <f t="shared" si="1"/>
        <v>T 4</v>
      </c>
      <c r="AG5" s="218" t="str">
        <f t="shared" si="1"/>
        <v>T 5</v>
      </c>
      <c r="AH5" s="218" t="str">
        <f t="shared" si="1"/>
        <v>T 6</v>
      </c>
      <c r="AI5" s="277"/>
      <c r="AJ5" s="278"/>
      <c r="AK5" s="279"/>
      <c r="AL5" s="285"/>
      <c r="AM5" s="264"/>
      <c r="AN5" s="264"/>
      <c r="AO5" s="281"/>
      <c r="AP5" s="266"/>
      <c r="AQ5" s="289"/>
      <c r="AR5" s="289"/>
    </row>
    <row r="6" spans="1:45" s="26" customFormat="1" ht="44.25" customHeight="1">
      <c r="A6" s="182">
        <v>1</v>
      </c>
      <c r="B6" s="172" t="s">
        <v>79</v>
      </c>
      <c r="C6" s="183" t="s">
        <v>107</v>
      </c>
      <c r="D6" s="232">
        <v>8</v>
      </c>
      <c r="E6" s="233">
        <v>0</v>
      </c>
      <c r="F6" s="232">
        <v>8</v>
      </c>
      <c r="G6" s="232">
        <v>8</v>
      </c>
      <c r="H6" s="232">
        <v>8</v>
      </c>
      <c r="I6" s="232">
        <v>8</v>
      </c>
      <c r="J6" s="232">
        <v>8</v>
      </c>
      <c r="K6" s="232">
        <v>8</v>
      </c>
      <c r="L6" s="233">
        <v>0</v>
      </c>
      <c r="M6" s="232">
        <v>8</v>
      </c>
      <c r="N6" s="232">
        <v>8</v>
      </c>
      <c r="O6" s="232">
        <v>8</v>
      </c>
      <c r="P6" s="233">
        <v>0</v>
      </c>
      <c r="Q6" s="233">
        <v>0</v>
      </c>
      <c r="R6" s="232">
        <v>8</v>
      </c>
      <c r="S6" s="232">
        <v>8</v>
      </c>
      <c r="T6" s="232">
        <v>8</v>
      </c>
      <c r="U6" s="232">
        <v>8</v>
      </c>
      <c r="V6" s="234" t="s">
        <v>217</v>
      </c>
      <c r="W6" s="232">
        <v>8</v>
      </c>
      <c r="X6" s="232">
        <v>8</v>
      </c>
      <c r="Y6" s="232">
        <v>8</v>
      </c>
      <c r="Z6" s="232">
        <v>8</v>
      </c>
      <c r="AA6" s="232">
        <v>8</v>
      </c>
      <c r="AB6" s="232">
        <v>8</v>
      </c>
      <c r="AC6" s="232">
        <v>8</v>
      </c>
      <c r="AD6" s="232">
        <v>8</v>
      </c>
      <c r="AE6" s="232">
        <v>8</v>
      </c>
      <c r="AF6" s="232">
        <v>8</v>
      </c>
      <c r="AG6" s="232">
        <v>8</v>
      </c>
      <c r="AH6" s="232">
        <v>8</v>
      </c>
      <c r="AI6" s="184">
        <f>SUM(D6:AH6)</f>
        <v>208</v>
      </c>
      <c r="AJ6" s="185">
        <f>COUNTIF(D6:AG6,"P")*8+COUNTIF(D6:AG6,"KH")*8+COUNTIF(D6:AG6,"TL")*8+COUNTIF(D6:AG6,"NL")*8</f>
        <v>8</v>
      </c>
      <c r="AK6" s="185">
        <f>COUNTIF(D6:AG6,"ĐC")*8</f>
        <v>0</v>
      </c>
      <c r="AL6" s="185"/>
      <c r="AM6" s="184">
        <f>AI6+AJ6+AK6</f>
        <v>216</v>
      </c>
      <c r="AN6" s="185">
        <f>IF(AM6/8&gt;$AP$3,$AP$3,AM6/8)</f>
        <v>27</v>
      </c>
      <c r="AO6" s="185"/>
      <c r="AP6" s="186">
        <f t="shared" ref="AP6" si="2">IF(AND(AN6&gt;=$AP$3,AO6=0),350000,IF(AND(OR(AR6="NV MỚI",AR6="NGHỈ VIỆC"),AO6=0),350000/$AP$3*AN6,0))</f>
        <v>350000</v>
      </c>
      <c r="AQ6" s="187"/>
      <c r="AR6" s="188"/>
    </row>
    <row r="7" spans="1:45" s="26" customFormat="1" ht="44.25" customHeight="1">
      <c r="A7" s="182">
        <v>2</v>
      </c>
      <c r="B7" s="83" t="s">
        <v>81</v>
      </c>
      <c r="C7" s="183" t="s">
        <v>50</v>
      </c>
      <c r="D7" s="232">
        <v>8</v>
      </c>
      <c r="E7" s="232">
        <v>8</v>
      </c>
      <c r="F7" s="232">
        <v>8</v>
      </c>
      <c r="G7" s="232">
        <v>8</v>
      </c>
      <c r="H7" s="232">
        <v>8</v>
      </c>
      <c r="I7" s="233">
        <v>0</v>
      </c>
      <c r="J7" s="234" t="s">
        <v>217</v>
      </c>
      <c r="K7" s="232">
        <v>8</v>
      </c>
      <c r="L7" s="232">
        <v>8</v>
      </c>
      <c r="M7" s="232">
        <v>8</v>
      </c>
      <c r="N7" s="232">
        <v>8</v>
      </c>
      <c r="O7" s="232">
        <v>8</v>
      </c>
      <c r="P7" s="232">
        <v>8</v>
      </c>
      <c r="Q7" s="232">
        <v>8</v>
      </c>
      <c r="R7" s="232">
        <v>8</v>
      </c>
      <c r="S7" s="233">
        <v>0</v>
      </c>
      <c r="T7" s="232">
        <v>8</v>
      </c>
      <c r="U7" s="232">
        <v>8</v>
      </c>
      <c r="V7" s="232">
        <v>8</v>
      </c>
      <c r="W7" s="233">
        <v>0</v>
      </c>
      <c r="X7" s="232">
        <v>8</v>
      </c>
      <c r="Y7" s="232">
        <v>8</v>
      </c>
      <c r="Z7" s="232">
        <v>8</v>
      </c>
      <c r="AA7" s="232">
        <v>8</v>
      </c>
      <c r="AB7" s="232">
        <v>8</v>
      </c>
      <c r="AC7" s="232">
        <v>8</v>
      </c>
      <c r="AD7" s="232">
        <v>8</v>
      </c>
      <c r="AE7" s="232">
        <v>8</v>
      </c>
      <c r="AF7" s="233">
        <v>0</v>
      </c>
      <c r="AG7" s="232">
        <v>8</v>
      </c>
      <c r="AH7" s="232">
        <v>8</v>
      </c>
      <c r="AI7" s="184">
        <f t="shared" ref="AI7:AI10" si="3">SUM(D7:AH7)</f>
        <v>208</v>
      </c>
      <c r="AJ7" s="185">
        <f>COUNTIF(D7:AG7,"P")*8+COUNTIF(D7:AG7,"KH")*8+COUNTIF(D7:AG7,"TL")*8+COUNTIF(D7:AG7,"NL")*8</f>
        <v>8</v>
      </c>
      <c r="AK7" s="185">
        <f>COUNTIF(D7:AG7,"ĐC")*8</f>
        <v>0</v>
      </c>
      <c r="AL7" s="185"/>
      <c r="AM7" s="184">
        <f>AI7+AJ7+AK7</f>
        <v>216</v>
      </c>
      <c r="AN7" s="185">
        <f>IF(AM7/8&gt;$AP$3,$AP$3,AM7/8)</f>
        <v>27</v>
      </c>
      <c r="AO7" s="185"/>
      <c r="AP7" s="186">
        <f t="shared" ref="AP7" si="4">IF(AND(AN7&gt;=$AP$3,AO7=0),350000,IF(AND(OR(AR7="NV MỚI",AR7="NGHỈ VIỆC"),AO7=0),350000/$AP$3*AN7,0))</f>
        <v>350000</v>
      </c>
      <c r="AQ7" s="187"/>
      <c r="AR7" s="188"/>
      <c r="AS7" s="199"/>
    </row>
    <row r="8" spans="1:45" s="26" customFormat="1" ht="44.25" customHeight="1">
      <c r="A8" s="182">
        <v>3</v>
      </c>
      <c r="B8" s="181" t="s">
        <v>108</v>
      </c>
      <c r="C8" s="183" t="s">
        <v>50</v>
      </c>
      <c r="D8" s="233">
        <v>0</v>
      </c>
      <c r="E8" s="232">
        <v>8</v>
      </c>
      <c r="F8" s="232">
        <v>8</v>
      </c>
      <c r="G8" s="232">
        <v>8</v>
      </c>
      <c r="H8" s="232">
        <v>8</v>
      </c>
      <c r="I8" s="232">
        <v>8</v>
      </c>
      <c r="J8" s="232">
        <v>8</v>
      </c>
      <c r="K8" s="233">
        <v>0</v>
      </c>
      <c r="L8" s="232">
        <v>8</v>
      </c>
      <c r="M8" s="232">
        <v>8</v>
      </c>
      <c r="N8" s="232">
        <v>8</v>
      </c>
      <c r="O8" s="232">
        <v>8</v>
      </c>
      <c r="P8" s="232">
        <v>8</v>
      </c>
      <c r="Q8" s="232">
        <v>8</v>
      </c>
      <c r="R8" s="232">
        <v>8</v>
      </c>
      <c r="S8" s="232">
        <v>8</v>
      </c>
      <c r="T8" s="232">
        <v>8</v>
      </c>
      <c r="U8" s="232">
        <v>8</v>
      </c>
      <c r="V8" s="232">
        <v>8</v>
      </c>
      <c r="W8" s="232">
        <v>8</v>
      </c>
      <c r="X8" s="233">
        <v>0</v>
      </c>
      <c r="Y8" s="234" t="s">
        <v>217</v>
      </c>
      <c r="Z8" s="232">
        <v>8</v>
      </c>
      <c r="AA8" s="232">
        <v>8</v>
      </c>
      <c r="AB8" s="232">
        <v>8</v>
      </c>
      <c r="AC8" s="232">
        <v>8</v>
      </c>
      <c r="AD8" s="232">
        <v>8</v>
      </c>
      <c r="AE8" s="233">
        <v>0</v>
      </c>
      <c r="AF8" s="232">
        <v>8</v>
      </c>
      <c r="AG8" s="232">
        <v>8</v>
      </c>
      <c r="AH8" s="232">
        <v>8</v>
      </c>
      <c r="AI8" s="184">
        <f t="shared" si="3"/>
        <v>208</v>
      </c>
      <c r="AJ8" s="185">
        <f>COUNTIF(D8:AG8,"P")*8+COUNTIF(D8:AG8,"KH")*8+COUNTIF(D8:AG8,"TL")*8+COUNTIF(D8:AG8,"NL")*8</f>
        <v>8</v>
      </c>
      <c r="AK8" s="185">
        <f>COUNTIF(D8:AG8,"ĐC")*8</f>
        <v>0</v>
      </c>
      <c r="AL8" s="185"/>
      <c r="AM8" s="184">
        <f t="shared" ref="AM8:AM10" si="5">AI8+AJ8+AK8</f>
        <v>216</v>
      </c>
      <c r="AN8" s="185">
        <f t="shared" ref="AN8" si="6">IF(AM8/8&gt;$AP$3,$AP$3,AM8/8)</f>
        <v>27</v>
      </c>
      <c r="AO8" s="185"/>
      <c r="AP8" s="186">
        <f t="shared" ref="AP8:AP10" si="7">IF(AND(AN8&gt;=$AP$3,AO8=0),350000,IF(AND(OR(AR8="NV MỚI",AR8="NGHỈ VIỆC"),AO8=0),350000/$AP$3*AN8,0))</f>
        <v>350000</v>
      </c>
      <c r="AQ8" s="187"/>
      <c r="AR8" s="188"/>
    </row>
    <row r="9" spans="1:45" s="26" customFormat="1" ht="44.25" customHeight="1">
      <c r="A9" s="182">
        <v>4</v>
      </c>
      <c r="B9" s="181" t="s">
        <v>95</v>
      </c>
      <c r="C9" s="183" t="s">
        <v>50</v>
      </c>
      <c r="D9" s="232">
        <v>8</v>
      </c>
      <c r="E9" s="232">
        <v>8</v>
      </c>
      <c r="F9" s="233">
        <v>0</v>
      </c>
      <c r="G9" s="232">
        <v>8</v>
      </c>
      <c r="H9" s="232">
        <v>8</v>
      </c>
      <c r="I9" s="232">
        <v>8</v>
      </c>
      <c r="J9" s="232">
        <v>8</v>
      </c>
      <c r="K9" s="232">
        <v>8</v>
      </c>
      <c r="L9" s="232">
        <v>8</v>
      </c>
      <c r="M9" s="233">
        <v>0</v>
      </c>
      <c r="N9" s="232">
        <v>8</v>
      </c>
      <c r="O9" s="232">
        <v>8</v>
      </c>
      <c r="P9" s="232">
        <v>8</v>
      </c>
      <c r="Q9" s="232">
        <v>8</v>
      </c>
      <c r="R9" s="233">
        <v>0</v>
      </c>
      <c r="S9" s="232">
        <v>8</v>
      </c>
      <c r="T9" s="232">
        <v>8</v>
      </c>
      <c r="U9" s="232">
        <v>8</v>
      </c>
      <c r="V9" s="232">
        <v>8</v>
      </c>
      <c r="W9" s="232">
        <v>8</v>
      </c>
      <c r="X9" s="232">
        <v>8</v>
      </c>
      <c r="Y9" s="232">
        <v>8</v>
      </c>
      <c r="Z9" s="232">
        <v>8</v>
      </c>
      <c r="AA9" s="233">
        <v>0</v>
      </c>
      <c r="AB9" s="232">
        <v>8</v>
      </c>
      <c r="AC9" s="232">
        <v>8</v>
      </c>
      <c r="AD9" s="232">
        <v>8</v>
      </c>
      <c r="AE9" s="232">
        <v>8</v>
      </c>
      <c r="AF9" s="232">
        <v>8</v>
      </c>
      <c r="AG9" s="232">
        <v>8</v>
      </c>
      <c r="AH9" s="232">
        <v>8</v>
      </c>
      <c r="AI9" s="184">
        <f t="shared" si="3"/>
        <v>216</v>
      </c>
      <c r="AJ9" s="185">
        <f>COUNTIF(D9:AG9,"P")*8+COUNTIF(D9:AG9,"KH")*8+COUNTIF(D9:AG9,"TL")*8+COUNTIF(D9:AG9,"NL")*8</f>
        <v>0</v>
      </c>
      <c r="AK9" s="185">
        <f>COUNTIF(D9:AG9,"ĐC")*8</f>
        <v>0</v>
      </c>
      <c r="AL9" s="185"/>
      <c r="AM9" s="184">
        <f t="shared" si="5"/>
        <v>216</v>
      </c>
      <c r="AN9" s="185">
        <f t="shared" ref="AN9:AN10" si="8">IF(AM9/8&gt;$AP$3,$AP$3,AM9/8)</f>
        <v>27</v>
      </c>
      <c r="AO9" s="185"/>
      <c r="AP9" s="186">
        <f t="shared" si="7"/>
        <v>350000</v>
      </c>
      <c r="AQ9" s="187"/>
      <c r="AR9" s="188"/>
    </row>
    <row r="10" spans="1:45" s="95" customFormat="1" ht="44.25" customHeight="1">
      <c r="A10" s="235">
        <v>5</v>
      </c>
      <c r="B10" s="236" t="s">
        <v>214</v>
      </c>
      <c r="C10" s="237" t="s">
        <v>50</v>
      </c>
      <c r="D10" s="270" t="s">
        <v>218</v>
      </c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2"/>
      <c r="AE10" s="238">
        <v>8</v>
      </c>
      <c r="AF10" s="238">
        <v>8</v>
      </c>
      <c r="AG10" s="238">
        <v>8</v>
      </c>
      <c r="AH10" s="239">
        <v>0</v>
      </c>
      <c r="AI10" s="240">
        <f t="shared" si="3"/>
        <v>24</v>
      </c>
      <c r="AJ10" s="241">
        <f>COUNTIF(D10:AG10,"P")*8+COUNTIF(D10:AG10,"KH")*8+COUNTIF(D10:AG10,"TL")*8+COUNTIF(D10:AG10,"NL")*8</f>
        <v>0</v>
      </c>
      <c r="AK10" s="241">
        <f>COUNTIF(D10:AG10,"ĐC")*8</f>
        <v>0</v>
      </c>
      <c r="AL10" s="241"/>
      <c r="AM10" s="240">
        <f t="shared" si="5"/>
        <v>24</v>
      </c>
      <c r="AN10" s="241">
        <f t="shared" si="8"/>
        <v>3</v>
      </c>
      <c r="AO10" s="241"/>
      <c r="AP10" s="242">
        <f t="shared" si="7"/>
        <v>38888.888888888891</v>
      </c>
      <c r="AQ10" s="243"/>
      <c r="AR10" s="244" t="s">
        <v>219</v>
      </c>
    </row>
    <row r="11" spans="1:45" s="95" customFormat="1" ht="22.5" customHeight="1">
      <c r="A11" s="96"/>
      <c r="B11" s="97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9"/>
      <c r="AE11" s="99"/>
      <c r="AF11" s="99"/>
      <c r="AG11" s="99"/>
      <c r="AH11" s="99"/>
      <c r="AI11" s="100"/>
      <c r="AJ11" s="101"/>
      <c r="AK11" s="101"/>
      <c r="AL11" s="101"/>
      <c r="AM11" s="100"/>
      <c r="AN11" s="101"/>
      <c r="AO11" s="101"/>
      <c r="AP11" s="102"/>
      <c r="AQ11" s="100"/>
      <c r="AR11" s="94"/>
    </row>
    <row r="12" spans="1:45" s="26" customFormat="1" ht="12.75">
      <c r="A12" s="282"/>
      <c r="B12" s="282"/>
      <c r="C12" s="282"/>
      <c r="D12" s="282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  <c r="AB12" s="28"/>
      <c r="AC12" s="28"/>
      <c r="AD12" s="28"/>
      <c r="AE12" s="28"/>
      <c r="AF12" s="28"/>
      <c r="AG12" s="28"/>
      <c r="AH12" s="28"/>
      <c r="AI12" s="29"/>
      <c r="AJ12" s="28"/>
      <c r="AK12" s="28"/>
      <c r="AL12" s="28"/>
      <c r="AM12" s="30"/>
      <c r="AN12" s="30"/>
      <c r="AO12" s="30"/>
      <c r="AP12" s="30"/>
    </row>
    <row r="13" spans="1:45" s="26" customFormat="1" ht="26.25" customHeight="1">
      <c r="A13" s="267" t="s">
        <v>44</v>
      </c>
      <c r="B13" s="267"/>
      <c r="C13" s="267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28"/>
      <c r="AB13" s="28"/>
      <c r="AC13" s="28"/>
      <c r="AD13" s="28"/>
      <c r="AE13" s="28"/>
      <c r="AF13" s="28"/>
      <c r="AG13" s="28"/>
      <c r="AH13" s="28"/>
      <c r="AI13" s="283"/>
      <c r="AJ13" s="283"/>
      <c r="AK13" s="283"/>
      <c r="AL13" s="283"/>
      <c r="AM13" s="283"/>
      <c r="AN13" s="283"/>
      <c r="AO13" s="283"/>
      <c r="AP13" s="283"/>
    </row>
    <row r="14" spans="1:45" s="26" customFormat="1" ht="26.25" customHeight="1">
      <c r="A14" s="268" t="s">
        <v>105</v>
      </c>
      <c r="B14" s="268"/>
      <c r="C14" s="268"/>
      <c r="D14" s="3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28"/>
      <c r="AB14" s="28"/>
      <c r="AC14" s="28"/>
      <c r="AD14" s="28"/>
      <c r="AE14" s="28"/>
      <c r="AF14" s="28"/>
      <c r="AG14" s="28"/>
      <c r="AH14" s="28"/>
      <c r="AI14" s="85"/>
      <c r="AJ14" s="85"/>
      <c r="AK14" s="85"/>
      <c r="AL14" s="85"/>
      <c r="AM14" s="85"/>
      <c r="AN14" s="85"/>
      <c r="AO14" s="85"/>
      <c r="AP14" s="85"/>
    </row>
    <row r="15" spans="1:45" s="26" customFormat="1" ht="26.25" customHeight="1">
      <c r="A15" s="269" t="s">
        <v>52</v>
      </c>
      <c r="B15" s="269"/>
      <c r="C15" s="269"/>
      <c r="D15" s="34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28"/>
      <c r="AB15" s="28"/>
      <c r="AC15" s="28"/>
      <c r="AD15" s="28"/>
      <c r="AE15" s="28"/>
      <c r="AF15" s="28"/>
      <c r="AG15" s="28"/>
      <c r="AH15" s="28"/>
      <c r="AI15" s="85"/>
      <c r="AJ15" s="85"/>
      <c r="AK15" s="85"/>
      <c r="AL15" s="85"/>
      <c r="AM15" s="85"/>
      <c r="AN15" s="85"/>
      <c r="AO15" s="85"/>
      <c r="AP15" s="85"/>
    </row>
    <row r="16" spans="1:45" s="26" customFormat="1" ht="26.25" customHeight="1">
      <c r="A16" s="269" t="s">
        <v>86</v>
      </c>
      <c r="B16" s="269"/>
      <c r="C16" s="269"/>
      <c r="D16" s="49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28"/>
      <c r="AB16" s="28"/>
      <c r="AC16" s="28"/>
      <c r="AD16" s="28"/>
      <c r="AE16" s="28"/>
      <c r="AF16" s="28"/>
      <c r="AG16" s="28"/>
      <c r="AH16" s="28"/>
      <c r="AI16" s="130"/>
      <c r="AJ16" s="130"/>
      <c r="AK16" s="130"/>
      <c r="AL16" s="130"/>
      <c r="AM16" s="130"/>
      <c r="AN16" s="130"/>
      <c r="AO16" s="130"/>
      <c r="AP16" s="130"/>
    </row>
    <row r="17" spans="1:43" s="26" customFormat="1" ht="26.25" customHeight="1">
      <c r="A17" s="267" t="s">
        <v>87</v>
      </c>
      <c r="B17" s="267"/>
      <c r="C17" s="267"/>
      <c r="D17" s="36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28"/>
      <c r="AB17" s="28"/>
      <c r="AC17" s="28"/>
      <c r="AD17" s="28"/>
      <c r="AE17" s="28"/>
      <c r="AF17" s="28"/>
      <c r="AG17" s="28"/>
      <c r="AH17" s="28"/>
      <c r="AI17" s="85"/>
      <c r="AJ17" s="85"/>
      <c r="AK17" s="85"/>
      <c r="AL17" s="85"/>
      <c r="AM17" s="85"/>
      <c r="AN17" s="85"/>
      <c r="AO17" s="85"/>
      <c r="AP17" s="85"/>
    </row>
    <row r="18" spans="1:43" s="26" customFormat="1" ht="26.25" customHeight="1">
      <c r="A18" s="261" t="s">
        <v>55</v>
      </c>
      <c r="B18" s="262"/>
      <c r="C18" s="263"/>
      <c r="D18" s="49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28"/>
      <c r="AB18" s="28"/>
      <c r="AC18" s="28"/>
      <c r="AD18" s="28"/>
      <c r="AE18" s="28"/>
      <c r="AF18" s="28"/>
      <c r="AG18" s="28"/>
      <c r="AH18" s="28"/>
      <c r="AI18" s="85"/>
      <c r="AJ18" s="85"/>
      <c r="AK18" s="85"/>
      <c r="AL18" s="85"/>
      <c r="AM18" s="85"/>
      <c r="AN18" s="85"/>
      <c r="AO18" s="85"/>
      <c r="AP18" s="85"/>
    </row>
    <row r="19" spans="1:43" s="26" customFormat="1" ht="34.5" customHeight="1">
      <c r="A19" s="261" t="s">
        <v>56</v>
      </c>
      <c r="B19" s="262"/>
      <c r="C19" s="263"/>
      <c r="D19" s="50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28"/>
      <c r="AB19" s="28"/>
      <c r="AC19" s="28"/>
      <c r="AD19" s="28"/>
      <c r="AE19" s="28"/>
      <c r="AF19" s="28"/>
      <c r="AG19" s="28"/>
      <c r="AH19" s="28"/>
      <c r="AI19" s="85"/>
      <c r="AJ19" s="85"/>
      <c r="AK19" s="85"/>
      <c r="AL19" s="85"/>
      <c r="AM19" s="85"/>
      <c r="AN19" s="85"/>
      <c r="AO19" s="85"/>
      <c r="AP19" s="85"/>
    </row>
    <row r="20" spans="1:43" s="26" customFormat="1" ht="15">
      <c r="A20" s="47" t="s">
        <v>53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28"/>
      <c r="AB20" s="28"/>
      <c r="AC20" s="28"/>
      <c r="AD20" s="28"/>
      <c r="AE20" s="28"/>
      <c r="AF20" s="28"/>
      <c r="AG20" s="28"/>
      <c r="AH20" s="28"/>
      <c r="AI20" s="85"/>
      <c r="AJ20" s="85"/>
      <c r="AK20" s="85"/>
      <c r="AL20" s="85"/>
      <c r="AM20" s="85"/>
      <c r="AN20" s="85"/>
      <c r="AO20" s="85"/>
      <c r="AP20" s="85"/>
    </row>
    <row r="21" spans="1:43" s="26" customFormat="1" ht="15">
      <c r="B21" s="47" t="s">
        <v>54</v>
      </c>
      <c r="D21" s="48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28"/>
      <c r="AB21" s="28"/>
      <c r="AC21" s="28"/>
      <c r="AD21" s="28"/>
      <c r="AE21" s="28"/>
      <c r="AF21" s="28"/>
      <c r="AG21" s="28"/>
      <c r="AH21" s="28"/>
      <c r="AI21" s="85"/>
      <c r="AJ21" s="85"/>
      <c r="AK21" s="85"/>
      <c r="AL21" s="85"/>
      <c r="AM21" s="85"/>
      <c r="AN21" s="85"/>
      <c r="AO21" s="85"/>
      <c r="AP21" s="85"/>
    </row>
    <row r="22" spans="1:43" s="26" customFormat="1" ht="12.75"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28"/>
      <c r="AB22" s="28"/>
      <c r="AC22" s="28"/>
      <c r="AD22" s="28"/>
      <c r="AE22" s="28"/>
      <c r="AF22" s="28"/>
      <c r="AG22" s="28"/>
      <c r="AH22" s="28"/>
      <c r="AI22" s="29"/>
      <c r="AJ22" s="28"/>
      <c r="AK22" s="28"/>
      <c r="AL22" s="28"/>
      <c r="AM22" s="30"/>
      <c r="AN22" s="30"/>
      <c r="AO22" s="30"/>
      <c r="AP22" s="30"/>
    </row>
    <row r="23" spans="1:43" s="86" customFormat="1" ht="14.25">
      <c r="E23" s="286" t="s">
        <v>42</v>
      </c>
      <c r="F23" s="286"/>
      <c r="G23" s="286"/>
      <c r="H23" s="286"/>
      <c r="I23" s="286"/>
      <c r="J23" s="286"/>
      <c r="K23" s="286"/>
      <c r="L23" s="286"/>
      <c r="M23" s="286"/>
      <c r="N23" s="286"/>
      <c r="O23" s="87"/>
      <c r="P23" s="87"/>
      <c r="Q23" s="275" t="s">
        <v>8</v>
      </c>
      <c r="R23" s="275"/>
      <c r="S23" s="275"/>
      <c r="T23" s="275"/>
      <c r="U23" s="275"/>
      <c r="V23" s="275"/>
      <c r="W23" s="88"/>
      <c r="X23" s="87"/>
      <c r="Y23" s="87"/>
      <c r="Z23" s="87"/>
      <c r="AA23" s="87"/>
      <c r="AB23" s="275" t="s">
        <v>9</v>
      </c>
      <c r="AC23" s="275"/>
      <c r="AD23" s="275"/>
      <c r="AE23" s="275"/>
      <c r="AF23" s="275"/>
      <c r="AG23" s="275"/>
      <c r="AH23" s="224"/>
      <c r="AI23" s="89"/>
      <c r="AJ23" s="87"/>
      <c r="AK23" s="87"/>
      <c r="AL23" s="87"/>
      <c r="AM23" s="275" t="s">
        <v>10</v>
      </c>
      <c r="AN23" s="275"/>
      <c r="AO23" s="275"/>
      <c r="AP23" s="275"/>
      <c r="AQ23" s="90"/>
    </row>
    <row r="24" spans="1:43" s="26" customFormat="1" ht="12.75">
      <c r="A24" s="38"/>
      <c r="D24" s="35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9"/>
      <c r="AJ24" s="28"/>
      <c r="AK24" s="28"/>
      <c r="AL24" s="28"/>
      <c r="AM24" s="30"/>
      <c r="AN24" s="30"/>
      <c r="AO24" s="30"/>
      <c r="AP24" s="30"/>
    </row>
    <row r="25" spans="1:43" s="26" customFormat="1" ht="12.75">
      <c r="A25" s="38"/>
      <c r="D25" s="35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9"/>
      <c r="AJ25" s="28"/>
      <c r="AK25" s="28"/>
      <c r="AL25" s="28"/>
      <c r="AM25" s="30"/>
      <c r="AN25" s="30"/>
      <c r="AO25" s="30"/>
      <c r="AP25" s="30"/>
    </row>
    <row r="26" spans="1:43" s="26" customFormat="1" ht="14.25">
      <c r="A26" s="39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7"/>
      <c r="AJ26" s="35"/>
      <c r="AK26" s="35"/>
      <c r="AL26" s="35"/>
    </row>
    <row r="27" spans="1:43" s="26" customFormat="1" ht="14.25">
      <c r="A27" s="39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7"/>
      <c r="AJ27" s="35"/>
      <c r="AK27" s="35"/>
      <c r="AL27" s="35"/>
    </row>
    <row r="28" spans="1:43" s="26" customFormat="1">
      <c r="A28" s="38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7"/>
      <c r="AJ28" s="35"/>
      <c r="AK28" s="35"/>
      <c r="AL28" s="35"/>
    </row>
    <row r="29" spans="1:43" s="26" customFormat="1">
      <c r="A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7"/>
      <c r="AJ29" s="35"/>
      <c r="AK29" s="35"/>
      <c r="AL29" s="35"/>
    </row>
    <row r="30" spans="1:43" s="26" customFormat="1">
      <c r="A30" s="38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7"/>
      <c r="AJ30" s="35"/>
      <c r="AK30" s="35"/>
      <c r="AL30" s="35"/>
    </row>
    <row r="31" spans="1:43" s="134" customFormat="1" ht="18" customHeight="1">
      <c r="A31" s="133"/>
      <c r="D31" s="135"/>
      <c r="E31" s="135"/>
      <c r="F31" s="135"/>
      <c r="G31" s="286" t="s">
        <v>94</v>
      </c>
      <c r="H31" s="286"/>
      <c r="I31" s="286"/>
      <c r="J31" s="286"/>
      <c r="K31" s="286"/>
      <c r="L31" s="286"/>
      <c r="M31" s="137"/>
      <c r="N31" s="137"/>
      <c r="O31" s="137"/>
      <c r="P31" s="137"/>
      <c r="Q31" s="135"/>
      <c r="R31" s="287" t="s">
        <v>117</v>
      </c>
      <c r="S31" s="287"/>
      <c r="T31" s="287"/>
      <c r="U31" s="287"/>
      <c r="V31" s="287"/>
      <c r="W31" s="135"/>
      <c r="X31" s="135"/>
      <c r="Y31" s="135"/>
      <c r="Z31" s="135"/>
      <c r="AA31" s="135"/>
      <c r="AB31" s="135"/>
      <c r="AC31" s="287" t="s">
        <v>113</v>
      </c>
      <c r="AD31" s="287"/>
      <c r="AE31" s="287"/>
      <c r="AF31" s="287"/>
      <c r="AG31" s="287"/>
      <c r="AH31" s="223"/>
      <c r="AI31" s="136"/>
      <c r="AJ31" s="135"/>
      <c r="AK31" s="135"/>
      <c r="AL31" s="135"/>
      <c r="AN31" s="138" t="s">
        <v>79</v>
      </c>
    </row>
    <row r="32" spans="1:43" s="26" customFormat="1">
      <c r="A32" s="38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7"/>
      <c r="AJ32" s="35"/>
      <c r="AK32" s="35"/>
      <c r="AL32" s="35"/>
    </row>
    <row r="33" spans="1:38" s="26" customFormat="1">
      <c r="A33" s="38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7"/>
      <c r="AJ33" s="35"/>
      <c r="AK33" s="35"/>
      <c r="AL33" s="35"/>
    </row>
    <row r="34" spans="1:38" s="26" customFormat="1">
      <c r="A34" s="38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7"/>
      <c r="AJ34" s="35"/>
      <c r="AK34" s="35"/>
      <c r="AL34" s="35"/>
    </row>
    <row r="35" spans="1:38" s="26" customFormat="1">
      <c r="A35" s="38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7"/>
      <c r="AJ35" s="35"/>
      <c r="AK35" s="35"/>
      <c r="AL35" s="35"/>
    </row>
    <row r="36" spans="1:38" s="26" customFormat="1">
      <c r="A36" s="38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7"/>
      <c r="AJ36" s="35"/>
      <c r="AK36" s="35"/>
      <c r="AL36" s="35"/>
    </row>
    <row r="37" spans="1:38" s="26" customFormat="1">
      <c r="A37" s="38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7"/>
      <c r="AJ37" s="35"/>
      <c r="AK37" s="35"/>
      <c r="AL37" s="35"/>
    </row>
    <row r="38" spans="1:38" s="26" customFormat="1">
      <c r="A38" s="38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7"/>
      <c r="AJ38" s="35"/>
      <c r="AK38" s="35"/>
      <c r="AL38" s="35"/>
    </row>
    <row r="39" spans="1:38" s="26" customFormat="1">
      <c r="A39" s="38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7"/>
      <c r="AJ39" s="35"/>
      <c r="AK39" s="35"/>
      <c r="AL39" s="35"/>
    </row>
    <row r="40" spans="1:38" s="26" customFormat="1">
      <c r="A40" s="38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7"/>
      <c r="AJ40" s="35"/>
      <c r="AK40" s="35"/>
      <c r="AL40" s="35"/>
    </row>
    <row r="41" spans="1:38" s="26" customFormat="1">
      <c r="A41" s="38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7"/>
      <c r="AJ41" s="35"/>
      <c r="AK41" s="35"/>
      <c r="AL41" s="35"/>
    </row>
    <row r="42" spans="1:38" s="26" customFormat="1">
      <c r="A42" s="38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7"/>
      <c r="AJ42" s="35"/>
      <c r="AK42" s="35"/>
      <c r="AL42" s="35"/>
    </row>
    <row r="43" spans="1:38" s="26" customFormat="1">
      <c r="A43" s="38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7"/>
      <c r="AJ43" s="35"/>
      <c r="AK43" s="35"/>
      <c r="AL43" s="35"/>
    </row>
    <row r="44" spans="1:38" s="26" customFormat="1">
      <c r="A44" s="38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7"/>
      <c r="AJ44" s="35"/>
      <c r="AK44" s="35"/>
      <c r="AL44" s="35"/>
    </row>
    <row r="45" spans="1:38" s="26" customFormat="1">
      <c r="A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7"/>
      <c r="AJ45" s="35"/>
      <c r="AK45" s="35"/>
      <c r="AL45" s="35"/>
    </row>
    <row r="46" spans="1:38" s="26" customFormat="1">
      <c r="A46" s="38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7"/>
      <c r="AJ46" s="35"/>
      <c r="AK46" s="35"/>
      <c r="AL46" s="35"/>
    </row>
    <row r="47" spans="1:38" s="26" customFormat="1">
      <c r="A47" s="38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7"/>
      <c r="AJ47" s="35"/>
      <c r="AK47" s="35"/>
      <c r="AL47" s="35"/>
    </row>
    <row r="48" spans="1:38" s="26" customFormat="1">
      <c r="A48" s="38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7"/>
      <c r="AJ48" s="35"/>
      <c r="AK48" s="35"/>
      <c r="AL48" s="35"/>
    </row>
    <row r="49" spans="1:38" s="26" customFormat="1">
      <c r="A49" s="38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7"/>
      <c r="AJ49" s="35"/>
      <c r="AK49" s="35"/>
      <c r="AL49" s="35"/>
    </row>
    <row r="50" spans="1:38" s="26" customFormat="1">
      <c r="A50" s="38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7"/>
      <c r="AJ50" s="35"/>
      <c r="AK50" s="35"/>
      <c r="AL50" s="35"/>
    </row>
    <row r="51" spans="1:38" s="26" customFormat="1">
      <c r="A51" s="38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7"/>
      <c r="AJ51" s="35"/>
      <c r="AK51" s="35"/>
      <c r="AL51" s="35"/>
    </row>
    <row r="52" spans="1:38" s="26" customFormat="1">
      <c r="A52" s="38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7"/>
      <c r="AJ52" s="35"/>
      <c r="AK52" s="35"/>
      <c r="AL52" s="35"/>
    </row>
    <row r="53" spans="1:38" s="26" customFormat="1">
      <c r="A53" s="38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7"/>
      <c r="AJ53" s="35"/>
      <c r="AK53" s="35"/>
      <c r="AL53" s="35"/>
    </row>
    <row r="54" spans="1:38" s="26" customFormat="1">
      <c r="A54" s="38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7"/>
      <c r="AJ54" s="35"/>
      <c r="AK54" s="35"/>
      <c r="AL54" s="35"/>
    </row>
    <row r="55" spans="1:38" s="26" customFormat="1">
      <c r="A55" s="38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7"/>
      <c r="AJ55" s="35"/>
      <c r="AK55" s="35"/>
      <c r="AL55" s="35"/>
    </row>
    <row r="56" spans="1:38" s="26" customFormat="1">
      <c r="A56" s="38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7"/>
      <c r="AJ56" s="35"/>
      <c r="AK56" s="35"/>
      <c r="AL56" s="35"/>
    </row>
    <row r="57" spans="1:38" s="26" customFormat="1">
      <c r="A57" s="38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7"/>
      <c r="AJ57" s="35"/>
      <c r="AK57" s="35"/>
      <c r="AL57" s="35"/>
    </row>
    <row r="58" spans="1:38" s="26" customFormat="1">
      <c r="A58" s="38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7"/>
      <c r="AJ58" s="35"/>
      <c r="AK58" s="35"/>
      <c r="AL58" s="35"/>
    </row>
    <row r="59" spans="1:38" s="26" customFormat="1">
      <c r="A59" s="38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7"/>
      <c r="AJ59" s="35"/>
      <c r="AK59" s="35"/>
      <c r="AL59" s="35"/>
    </row>
    <row r="60" spans="1:38" s="26" customFormat="1">
      <c r="A60" s="38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7"/>
      <c r="AJ60" s="35"/>
      <c r="AK60" s="35"/>
      <c r="AL60" s="35"/>
    </row>
    <row r="61" spans="1:38" s="26" customFormat="1">
      <c r="A61" s="38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7"/>
      <c r="AJ61" s="35"/>
      <c r="AK61" s="35"/>
      <c r="AL61" s="35"/>
    </row>
    <row r="62" spans="1:38" s="26" customFormat="1">
      <c r="A62" s="38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7"/>
      <c r="AJ62" s="35"/>
      <c r="AK62" s="35"/>
      <c r="AL62" s="35"/>
    </row>
    <row r="63" spans="1:38" s="26" customFormat="1">
      <c r="A63" s="38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7"/>
      <c r="AJ63" s="35"/>
      <c r="AK63" s="35"/>
      <c r="AL63" s="35"/>
    </row>
    <row r="64" spans="1:38" s="26" customFormat="1">
      <c r="A64" s="38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7"/>
      <c r="AJ64" s="35"/>
      <c r="AK64" s="35"/>
      <c r="AL64" s="35"/>
    </row>
    <row r="65" spans="1:38" s="26" customFormat="1">
      <c r="A65" s="38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7"/>
      <c r="AJ65" s="35"/>
      <c r="AK65" s="35"/>
      <c r="AL65" s="35"/>
    </row>
    <row r="66" spans="1:38" s="26" customFormat="1">
      <c r="A66" s="38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7"/>
      <c r="AJ66" s="35"/>
      <c r="AK66" s="35"/>
      <c r="AL66" s="35"/>
    </row>
    <row r="67" spans="1:38" s="26" customFormat="1">
      <c r="A67" s="38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7"/>
      <c r="AJ67" s="35"/>
      <c r="AK67" s="35"/>
      <c r="AL67" s="35"/>
    </row>
    <row r="68" spans="1:38" s="26" customFormat="1">
      <c r="A68" s="38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7"/>
      <c r="AJ68" s="35"/>
      <c r="AK68" s="35"/>
      <c r="AL68" s="35"/>
    </row>
    <row r="69" spans="1:38" s="26" customFormat="1">
      <c r="A69" s="38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7"/>
      <c r="AJ69" s="35"/>
      <c r="AK69" s="35"/>
      <c r="AL69" s="35"/>
    </row>
    <row r="70" spans="1:38" s="26" customFormat="1">
      <c r="A70" s="38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7"/>
      <c r="AJ70" s="35"/>
      <c r="AK70" s="35"/>
      <c r="AL70" s="35"/>
    </row>
    <row r="71" spans="1:38" s="26" customFormat="1">
      <c r="A71" s="38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7"/>
      <c r="AJ71" s="35"/>
      <c r="AK71" s="35"/>
      <c r="AL71" s="35"/>
    </row>
    <row r="72" spans="1:38" s="26" customFormat="1">
      <c r="A72" s="38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7"/>
      <c r="AJ72" s="35"/>
      <c r="AK72" s="35"/>
      <c r="AL72" s="35"/>
    </row>
    <row r="73" spans="1:38" s="26" customFormat="1">
      <c r="A73" s="38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7"/>
      <c r="AJ73" s="35"/>
      <c r="AK73" s="35"/>
      <c r="AL73" s="35"/>
    </row>
    <row r="74" spans="1:38" s="26" customFormat="1">
      <c r="A74" s="38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7"/>
      <c r="AJ74" s="35"/>
      <c r="AK74" s="35"/>
      <c r="AL74" s="35"/>
    </row>
    <row r="75" spans="1:38" s="26" customFormat="1">
      <c r="A75" s="38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7"/>
      <c r="AJ75" s="35"/>
      <c r="AK75" s="35"/>
      <c r="AL75" s="35"/>
    </row>
    <row r="76" spans="1:38" s="26" customFormat="1">
      <c r="A76" s="38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7"/>
      <c r="AJ76" s="35"/>
      <c r="AK76" s="35"/>
      <c r="AL76" s="35"/>
    </row>
    <row r="77" spans="1:38" s="26" customFormat="1">
      <c r="A77" s="38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7"/>
      <c r="AJ77" s="35"/>
      <c r="AK77" s="35"/>
      <c r="AL77" s="35"/>
    </row>
    <row r="78" spans="1:38" s="26" customFormat="1">
      <c r="A78" s="38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7"/>
      <c r="AJ78" s="35"/>
      <c r="AK78" s="35"/>
      <c r="AL78" s="35"/>
    </row>
    <row r="79" spans="1:38" s="26" customFormat="1">
      <c r="A79" s="38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7"/>
      <c r="AJ79" s="35"/>
      <c r="AK79" s="35"/>
      <c r="AL79" s="35"/>
    </row>
    <row r="80" spans="1:38" s="26" customFormat="1">
      <c r="A80" s="38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7"/>
      <c r="AJ80" s="35"/>
      <c r="AK80" s="35"/>
      <c r="AL80" s="35"/>
    </row>
    <row r="81" spans="1:38" s="26" customFormat="1">
      <c r="A81" s="38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7"/>
      <c r="AJ81" s="35"/>
      <c r="AK81" s="35"/>
      <c r="AL81" s="35"/>
    </row>
    <row r="82" spans="1:38" s="26" customFormat="1">
      <c r="A82" s="38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7"/>
      <c r="AJ82" s="35"/>
      <c r="AK82" s="35"/>
      <c r="AL82" s="35"/>
    </row>
    <row r="83" spans="1:38" s="26" customFormat="1">
      <c r="A83" s="38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7"/>
      <c r="AJ83" s="35"/>
      <c r="AK83" s="35"/>
      <c r="AL83" s="35"/>
    </row>
    <row r="84" spans="1:38" s="26" customFormat="1">
      <c r="A84" s="38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7"/>
      <c r="AJ84" s="35"/>
      <c r="AK84" s="35"/>
      <c r="AL84" s="35"/>
    </row>
    <row r="85" spans="1:38" s="26" customFormat="1">
      <c r="A85" s="38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7"/>
      <c r="AJ85" s="35"/>
      <c r="AK85" s="35"/>
      <c r="AL85" s="35"/>
    </row>
    <row r="86" spans="1:38" s="26" customFormat="1">
      <c r="A86" s="38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7"/>
      <c r="AJ86" s="35"/>
      <c r="AK86" s="35"/>
      <c r="AL86" s="35"/>
    </row>
    <row r="87" spans="1:38" s="26" customFormat="1">
      <c r="A87" s="38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7"/>
      <c r="AJ87" s="35"/>
      <c r="AK87" s="35"/>
      <c r="AL87" s="35"/>
    </row>
    <row r="88" spans="1:38" s="26" customFormat="1">
      <c r="A88" s="38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7"/>
      <c r="AJ88" s="35"/>
      <c r="AK88" s="35"/>
      <c r="AL88" s="35"/>
    </row>
    <row r="89" spans="1:38" s="26" customFormat="1">
      <c r="A89" s="38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7"/>
      <c r="AJ89" s="35"/>
      <c r="AK89" s="35"/>
      <c r="AL89" s="35"/>
    </row>
    <row r="90" spans="1:38" s="26" customFormat="1">
      <c r="A90" s="38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7"/>
      <c r="AJ90" s="35"/>
      <c r="AK90" s="35"/>
      <c r="AL90" s="35"/>
    </row>
    <row r="91" spans="1:38" s="26" customFormat="1">
      <c r="A91" s="38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7"/>
      <c r="AJ91" s="35"/>
      <c r="AK91" s="35"/>
      <c r="AL91" s="35"/>
    </row>
    <row r="92" spans="1:38" s="26" customFormat="1">
      <c r="A92" s="38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7"/>
      <c r="AJ92" s="35"/>
      <c r="AK92" s="35"/>
      <c r="AL92" s="35"/>
    </row>
    <row r="93" spans="1:38" s="26" customFormat="1">
      <c r="A93" s="38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7"/>
      <c r="AJ93" s="35"/>
      <c r="AK93" s="35"/>
      <c r="AL93" s="35"/>
    </row>
    <row r="94" spans="1:38" s="26" customFormat="1">
      <c r="A94" s="38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7"/>
      <c r="AJ94" s="35"/>
      <c r="AK94" s="35"/>
      <c r="AL94" s="35"/>
    </row>
    <row r="95" spans="1:38" s="26" customFormat="1">
      <c r="A95" s="38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7"/>
      <c r="AJ95" s="35"/>
      <c r="AK95" s="35"/>
      <c r="AL95" s="35"/>
    </row>
    <row r="96" spans="1:38" s="26" customFormat="1">
      <c r="A96" s="38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7"/>
      <c r="AJ96" s="35"/>
      <c r="AK96" s="35"/>
      <c r="AL96" s="35"/>
    </row>
    <row r="97" spans="1:38" s="26" customFormat="1">
      <c r="A97" s="38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7"/>
      <c r="AJ97" s="35"/>
      <c r="AK97" s="35"/>
      <c r="AL97" s="35"/>
    </row>
    <row r="98" spans="1:38" s="26" customFormat="1">
      <c r="A98" s="38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7"/>
      <c r="AJ98" s="35"/>
      <c r="AK98" s="35"/>
      <c r="AL98" s="35"/>
    </row>
    <row r="99" spans="1:38" s="26" customFormat="1">
      <c r="A99" s="38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7"/>
      <c r="AJ99" s="35"/>
      <c r="AK99" s="35"/>
      <c r="AL99" s="35"/>
    </row>
    <row r="100" spans="1:38" s="26" customFormat="1">
      <c r="A100" s="38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7"/>
      <c r="AJ100" s="35"/>
      <c r="AK100" s="35"/>
      <c r="AL100" s="35"/>
    </row>
    <row r="101" spans="1:38" s="26" customFormat="1">
      <c r="A101" s="38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7"/>
      <c r="AJ101" s="35"/>
      <c r="AK101" s="35"/>
      <c r="AL101" s="35"/>
    </row>
    <row r="102" spans="1:38" s="26" customFormat="1">
      <c r="A102" s="38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7"/>
      <c r="AJ102" s="35"/>
      <c r="AK102" s="35"/>
      <c r="AL102" s="35"/>
    </row>
    <row r="103" spans="1:38" s="26" customFormat="1">
      <c r="A103" s="38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7"/>
      <c r="AJ103" s="35"/>
      <c r="AK103" s="35"/>
      <c r="AL103" s="35"/>
    </row>
    <row r="104" spans="1:38" s="26" customFormat="1">
      <c r="A104" s="38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7"/>
      <c r="AJ104" s="35"/>
      <c r="AK104" s="35"/>
      <c r="AL104" s="35"/>
    </row>
    <row r="105" spans="1:38" s="26" customFormat="1">
      <c r="A105" s="38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7"/>
      <c r="AJ105" s="35"/>
      <c r="AK105" s="35"/>
      <c r="AL105" s="35"/>
    </row>
    <row r="106" spans="1:38" s="26" customFormat="1">
      <c r="A106" s="38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7"/>
      <c r="AJ106" s="35"/>
      <c r="AK106" s="35"/>
      <c r="AL106" s="35"/>
    </row>
    <row r="107" spans="1:38" s="26" customFormat="1">
      <c r="A107" s="38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7"/>
      <c r="AJ107" s="35"/>
      <c r="AK107" s="35"/>
      <c r="AL107" s="35"/>
    </row>
    <row r="108" spans="1:38" s="26" customFormat="1">
      <c r="A108" s="38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7"/>
      <c r="AJ108" s="35"/>
      <c r="AK108" s="35"/>
      <c r="AL108" s="35"/>
    </row>
    <row r="109" spans="1:38" s="26" customFormat="1">
      <c r="A109" s="38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7"/>
      <c r="AJ109" s="35"/>
      <c r="AK109" s="35"/>
      <c r="AL109" s="35"/>
    </row>
    <row r="110" spans="1:38" s="26" customFormat="1">
      <c r="A110" s="38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7"/>
      <c r="AJ110" s="35"/>
      <c r="AK110" s="35"/>
      <c r="AL110" s="35"/>
    </row>
    <row r="111" spans="1:38" s="26" customFormat="1">
      <c r="A111" s="38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7"/>
      <c r="AJ111" s="35"/>
      <c r="AK111" s="35"/>
      <c r="AL111" s="35"/>
    </row>
    <row r="112" spans="1:38" s="26" customFormat="1">
      <c r="A112" s="38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7"/>
      <c r="AJ112" s="35"/>
      <c r="AK112" s="35"/>
      <c r="AL112" s="35"/>
    </row>
    <row r="113" spans="1:38" s="26" customFormat="1">
      <c r="A113" s="38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7"/>
      <c r="AJ113" s="35"/>
      <c r="AK113" s="35"/>
      <c r="AL113" s="35"/>
    </row>
    <row r="114" spans="1:38" s="26" customFormat="1">
      <c r="A114" s="38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7"/>
      <c r="AJ114" s="35"/>
      <c r="AK114" s="35"/>
      <c r="AL114" s="35"/>
    </row>
    <row r="115" spans="1:38" s="26" customFormat="1">
      <c r="A115" s="38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7"/>
      <c r="AJ115" s="35"/>
      <c r="AK115" s="35"/>
      <c r="AL115" s="35"/>
    </row>
    <row r="116" spans="1:38" s="26" customFormat="1">
      <c r="A116" s="38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7"/>
      <c r="AJ116" s="35"/>
      <c r="AK116" s="35"/>
      <c r="AL116" s="35"/>
    </row>
    <row r="117" spans="1:38" s="26" customFormat="1">
      <c r="A117" s="38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7"/>
      <c r="AJ117" s="35"/>
      <c r="AK117" s="35"/>
      <c r="AL117" s="35"/>
    </row>
    <row r="118" spans="1:38" s="26" customFormat="1">
      <c r="A118" s="38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7"/>
      <c r="AJ118" s="35"/>
      <c r="AK118" s="35"/>
      <c r="AL118" s="35"/>
    </row>
    <row r="119" spans="1:38" s="26" customFormat="1">
      <c r="A119" s="38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7"/>
      <c r="AJ119" s="35"/>
      <c r="AK119" s="35"/>
      <c r="AL119" s="35"/>
    </row>
    <row r="120" spans="1:38" s="26" customFormat="1">
      <c r="A120" s="38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7"/>
      <c r="AJ120" s="35"/>
      <c r="AK120" s="35"/>
      <c r="AL120" s="35"/>
    </row>
    <row r="121" spans="1:38" s="26" customFormat="1">
      <c r="A121" s="38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7"/>
      <c r="AJ121" s="35"/>
      <c r="AK121" s="35"/>
      <c r="AL121" s="35"/>
    </row>
    <row r="122" spans="1:38" s="26" customFormat="1">
      <c r="A122" s="38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7"/>
      <c r="AJ122" s="35"/>
      <c r="AK122" s="35"/>
      <c r="AL122" s="35"/>
    </row>
    <row r="123" spans="1:38" s="26" customFormat="1">
      <c r="A123" s="38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7"/>
      <c r="AJ123" s="35"/>
      <c r="AK123" s="35"/>
      <c r="AL123" s="35"/>
    </row>
    <row r="124" spans="1:38" s="26" customFormat="1">
      <c r="A124" s="38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7"/>
      <c r="AJ124" s="35"/>
      <c r="AK124" s="35"/>
      <c r="AL124" s="35"/>
    </row>
    <row r="125" spans="1:38" s="26" customFormat="1">
      <c r="A125" s="38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7"/>
      <c r="AJ125" s="35"/>
      <c r="AK125" s="35"/>
      <c r="AL125" s="35"/>
    </row>
    <row r="126" spans="1:38" s="26" customFormat="1">
      <c r="A126" s="38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7"/>
      <c r="AJ126" s="35"/>
      <c r="AK126" s="35"/>
      <c r="AL126" s="35"/>
    </row>
    <row r="127" spans="1:38" s="26" customFormat="1">
      <c r="A127" s="38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7"/>
      <c r="AJ127" s="35"/>
      <c r="AK127" s="35"/>
      <c r="AL127" s="35"/>
    </row>
    <row r="128" spans="1:38" s="26" customFormat="1">
      <c r="A128" s="38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7"/>
      <c r="AJ128" s="35"/>
      <c r="AK128" s="35"/>
      <c r="AL128" s="35"/>
    </row>
    <row r="129" spans="1:38" s="26" customFormat="1">
      <c r="A129" s="38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7"/>
      <c r="AJ129" s="35"/>
      <c r="AK129" s="35"/>
      <c r="AL129" s="35"/>
    </row>
    <row r="130" spans="1:38" s="26" customFormat="1">
      <c r="A130" s="38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7"/>
      <c r="AJ130" s="35"/>
      <c r="AK130" s="35"/>
      <c r="AL130" s="35"/>
    </row>
    <row r="131" spans="1:38" s="26" customFormat="1">
      <c r="A131" s="38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7"/>
      <c r="AJ131" s="35"/>
      <c r="AK131" s="35"/>
      <c r="AL131" s="35"/>
    </row>
    <row r="132" spans="1:38" s="26" customFormat="1">
      <c r="A132" s="38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7"/>
      <c r="AJ132" s="35"/>
      <c r="AK132" s="35"/>
      <c r="AL132" s="35"/>
    </row>
    <row r="133" spans="1:38" s="26" customFormat="1">
      <c r="A133" s="38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7"/>
      <c r="AJ133" s="35"/>
      <c r="AK133" s="35"/>
      <c r="AL133" s="35"/>
    </row>
    <row r="134" spans="1:38" s="26" customFormat="1">
      <c r="A134" s="38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7"/>
      <c r="AJ134" s="35"/>
      <c r="AK134" s="35"/>
      <c r="AL134" s="35"/>
    </row>
    <row r="135" spans="1:38" s="26" customFormat="1">
      <c r="A135" s="38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7"/>
      <c r="AJ135" s="35"/>
      <c r="AK135" s="35"/>
      <c r="AL135" s="35"/>
    </row>
    <row r="136" spans="1:38" s="26" customFormat="1">
      <c r="A136" s="38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7"/>
      <c r="AJ136" s="35"/>
      <c r="AK136" s="35"/>
      <c r="AL136" s="35"/>
    </row>
    <row r="137" spans="1:38" s="26" customFormat="1">
      <c r="A137" s="38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7"/>
      <c r="AJ137" s="35"/>
      <c r="AK137" s="35"/>
      <c r="AL137" s="35"/>
    </row>
    <row r="138" spans="1:38" s="26" customFormat="1">
      <c r="A138" s="38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7"/>
      <c r="AJ138" s="35"/>
      <c r="AK138" s="35"/>
      <c r="AL138" s="35"/>
    </row>
    <row r="139" spans="1:38" s="26" customFormat="1">
      <c r="A139" s="38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7"/>
      <c r="AJ139" s="35"/>
      <c r="AK139" s="35"/>
      <c r="AL139" s="35"/>
    </row>
    <row r="140" spans="1:38" s="26" customFormat="1">
      <c r="A140" s="38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7"/>
      <c r="AJ140" s="35"/>
      <c r="AK140" s="35"/>
      <c r="AL140" s="35"/>
    </row>
    <row r="141" spans="1:38" s="26" customFormat="1">
      <c r="A141" s="38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7"/>
      <c r="AJ141" s="35"/>
      <c r="AK141" s="35"/>
      <c r="AL141" s="35"/>
    </row>
    <row r="142" spans="1:38" s="26" customFormat="1">
      <c r="A142" s="38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7"/>
      <c r="AJ142" s="35"/>
      <c r="AK142" s="35"/>
      <c r="AL142" s="35"/>
    </row>
    <row r="143" spans="1:38" s="26" customFormat="1">
      <c r="A143" s="38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7"/>
      <c r="AJ143" s="35"/>
      <c r="AK143" s="35"/>
      <c r="AL143" s="35"/>
    </row>
    <row r="144" spans="1:38" s="26" customFormat="1">
      <c r="A144" s="38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7"/>
      <c r="AJ144" s="35"/>
      <c r="AK144" s="35"/>
      <c r="AL144" s="35"/>
    </row>
    <row r="145" spans="1:38" s="26" customFormat="1">
      <c r="A145" s="38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7"/>
      <c r="AJ145" s="35"/>
      <c r="AK145" s="35"/>
      <c r="AL145" s="35"/>
    </row>
    <row r="146" spans="1:38" s="26" customFormat="1">
      <c r="A146" s="38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7"/>
      <c r="AJ146" s="35"/>
      <c r="AK146" s="35"/>
      <c r="AL146" s="35"/>
    </row>
    <row r="147" spans="1:38" s="26" customFormat="1">
      <c r="A147" s="38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7"/>
      <c r="AJ147" s="35"/>
      <c r="AK147" s="35"/>
      <c r="AL147" s="35"/>
    </row>
    <row r="148" spans="1:38" s="26" customFormat="1">
      <c r="A148" s="38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7"/>
      <c r="AJ148" s="35"/>
      <c r="AK148" s="35"/>
      <c r="AL148" s="35"/>
    </row>
    <row r="149" spans="1:38" s="26" customFormat="1">
      <c r="A149" s="38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7"/>
      <c r="AJ149" s="35"/>
      <c r="AK149" s="35"/>
      <c r="AL149" s="35"/>
    </row>
    <row r="150" spans="1:38" s="26" customFormat="1">
      <c r="A150" s="38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7"/>
      <c r="AJ150" s="35"/>
      <c r="AK150" s="35"/>
      <c r="AL150" s="35"/>
    </row>
    <row r="151" spans="1:38" s="26" customFormat="1">
      <c r="A151" s="38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7"/>
      <c r="AJ151" s="35"/>
      <c r="AK151" s="35"/>
      <c r="AL151" s="35"/>
    </row>
    <row r="152" spans="1:38" s="26" customFormat="1">
      <c r="A152" s="38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7"/>
      <c r="AJ152" s="35"/>
      <c r="AK152" s="35"/>
      <c r="AL152" s="35"/>
    </row>
    <row r="153" spans="1:38" s="26" customFormat="1">
      <c r="A153" s="38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7"/>
      <c r="AJ153" s="35"/>
      <c r="AK153" s="35"/>
      <c r="AL153" s="35"/>
    </row>
    <row r="154" spans="1:38" s="26" customFormat="1">
      <c r="A154" s="38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7"/>
      <c r="AJ154" s="35"/>
      <c r="AK154" s="35"/>
      <c r="AL154" s="35"/>
    </row>
    <row r="155" spans="1:38" s="26" customFormat="1">
      <c r="A155" s="38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7"/>
      <c r="AJ155" s="35"/>
      <c r="AK155" s="35"/>
      <c r="AL155" s="35"/>
    </row>
    <row r="156" spans="1:38" s="26" customFormat="1">
      <c r="A156" s="38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7"/>
      <c r="AJ156" s="35"/>
      <c r="AK156" s="35"/>
      <c r="AL156" s="35"/>
    </row>
    <row r="157" spans="1:38" s="26" customFormat="1">
      <c r="A157" s="38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7"/>
      <c r="AJ157" s="35"/>
      <c r="AK157" s="35"/>
      <c r="AL157" s="35"/>
    </row>
    <row r="158" spans="1:38" s="26" customFormat="1">
      <c r="A158" s="38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7"/>
      <c r="AJ158" s="35"/>
      <c r="AK158" s="35"/>
      <c r="AL158" s="35"/>
    </row>
    <row r="159" spans="1:38" s="26" customFormat="1">
      <c r="A159" s="38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7"/>
      <c r="AJ159" s="35"/>
      <c r="AK159" s="35"/>
      <c r="AL159" s="35"/>
    </row>
    <row r="160" spans="1:38" s="26" customFormat="1">
      <c r="A160" s="38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7"/>
      <c r="AJ160" s="35"/>
      <c r="AK160" s="35"/>
      <c r="AL160" s="35"/>
    </row>
    <row r="161" spans="1:38" s="26" customFormat="1">
      <c r="A161" s="38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7"/>
      <c r="AJ161" s="35"/>
      <c r="AK161" s="35"/>
      <c r="AL161" s="35"/>
    </row>
    <row r="162" spans="1:38" s="26" customFormat="1">
      <c r="A162" s="38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7"/>
      <c r="AJ162" s="35"/>
      <c r="AK162" s="35"/>
      <c r="AL162" s="35"/>
    </row>
    <row r="163" spans="1:38" s="26" customFormat="1">
      <c r="A163" s="38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7"/>
      <c r="AJ163" s="35"/>
      <c r="AK163" s="35"/>
      <c r="AL163" s="35"/>
    </row>
    <row r="164" spans="1:38" s="26" customFormat="1">
      <c r="A164" s="38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7"/>
      <c r="AJ164" s="35"/>
      <c r="AK164" s="35"/>
      <c r="AL164" s="35"/>
    </row>
    <row r="165" spans="1:38" s="26" customFormat="1">
      <c r="A165" s="38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7"/>
      <c r="AJ165" s="35"/>
      <c r="AK165" s="35"/>
      <c r="AL165" s="35"/>
    </row>
    <row r="166" spans="1:38" s="26" customFormat="1">
      <c r="A166" s="38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7"/>
      <c r="AJ166" s="35"/>
      <c r="AK166" s="35"/>
      <c r="AL166" s="35"/>
    </row>
    <row r="167" spans="1:38" s="26" customFormat="1">
      <c r="A167" s="38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7"/>
      <c r="AJ167" s="35"/>
      <c r="AK167" s="35"/>
      <c r="AL167" s="35"/>
    </row>
    <row r="168" spans="1:38" s="26" customFormat="1">
      <c r="A168" s="38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7"/>
      <c r="AJ168" s="35"/>
      <c r="AK168" s="35"/>
      <c r="AL168" s="35"/>
    </row>
    <row r="169" spans="1:38" s="26" customFormat="1">
      <c r="A169" s="38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7"/>
      <c r="AJ169" s="35"/>
      <c r="AK169" s="35"/>
      <c r="AL169" s="35"/>
    </row>
    <row r="170" spans="1:38" s="26" customFormat="1">
      <c r="A170" s="38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7"/>
      <c r="AJ170" s="35"/>
      <c r="AK170" s="35"/>
      <c r="AL170" s="35"/>
    </row>
    <row r="171" spans="1:38" s="26" customFormat="1">
      <c r="A171" s="38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7"/>
      <c r="AJ171" s="35"/>
      <c r="AK171" s="35"/>
      <c r="AL171" s="35"/>
    </row>
    <row r="172" spans="1:38" s="26" customFormat="1">
      <c r="A172" s="38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7"/>
      <c r="AJ172" s="35"/>
      <c r="AK172" s="35"/>
      <c r="AL172" s="35"/>
    </row>
    <row r="173" spans="1:38" s="26" customFormat="1">
      <c r="A173" s="38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7"/>
      <c r="AJ173" s="35"/>
      <c r="AK173" s="35"/>
      <c r="AL173" s="35"/>
    </row>
    <row r="174" spans="1:38" s="26" customFormat="1">
      <c r="A174" s="38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7"/>
      <c r="AJ174" s="35"/>
      <c r="AK174" s="35"/>
      <c r="AL174" s="35"/>
    </row>
    <row r="175" spans="1:38" s="26" customFormat="1">
      <c r="A175" s="38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7"/>
      <c r="AJ175" s="35"/>
      <c r="AK175" s="35"/>
      <c r="AL175" s="35"/>
    </row>
    <row r="176" spans="1:38" s="26" customFormat="1">
      <c r="A176" s="38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7"/>
      <c r="AJ176" s="35"/>
      <c r="AK176" s="35"/>
      <c r="AL176" s="35"/>
    </row>
    <row r="177" spans="1:38" s="26" customFormat="1">
      <c r="A177" s="38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7"/>
      <c r="AJ177" s="35"/>
      <c r="AK177" s="35"/>
      <c r="AL177" s="35"/>
    </row>
    <row r="178" spans="1:38" s="26" customFormat="1">
      <c r="A178" s="38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7"/>
      <c r="AJ178" s="35"/>
      <c r="AK178" s="35"/>
      <c r="AL178" s="35"/>
    </row>
    <row r="179" spans="1:38" s="26" customFormat="1">
      <c r="A179" s="38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7"/>
      <c r="AJ179" s="35"/>
      <c r="AK179" s="35"/>
      <c r="AL179" s="35"/>
    </row>
    <row r="180" spans="1:38" s="26" customFormat="1">
      <c r="A180" s="38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7"/>
      <c r="AJ180" s="35"/>
      <c r="AK180" s="35"/>
      <c r="AL180" s="35"/>
    </row>
    <row r="181" spans="1:38" s="26" customFormat="1">
      <c r="A181" s="38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7"/>
      <c r="AJ181" s="35"/>
      <c r="AK181" s="35"/>
      <c r="AL181" s="35"/>
    </row>
    <row r="182" spans="1:38" s="26" customFormat="1">
      <c r="A182" s="38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7"/>
      <c r="AJ182" s="35"/>
      <c r="AK182" s="35"/>
      <c r="AL182" s="35"/>
    </row>
    <row r="183" spans="1:38" s="26" customFormat="1">
      <c r="A183" s="38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7"/>
      <c r="AJ183" s="35"/>
      <c r="AK183" s="35"/>
      <c r="AL183" s="35"/>
    </row>
    <row r="184" spans="1:38" s="26" customFormat="1">
      <c r="A184" s="38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7"/>
      <c r="AJ184" s="35"/>
      <c r="AK184" s="35"/>
      <c r="AL184" s="35"/>
    </row>
    <row r="185" spans="1:38" s="26" customFormat="1">
      <c r="A185" s="38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7"/>
      <c r="AJ185" s="35"/>
      <c r="AK185" s="35"/>
      <c r="AL185" s="35"/>
    </row>
    <row r="186" spans="1:38" s="26" customFormat="1">
      <c r="A186" s="38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7"/>
      <c r="AJ186" s="35"/>
      <c r="AK186" s="35"/>
      <c r="AL186" s="35"/>
    </row>
    <row r="187" spans="1:38" s="26" customFormat="1">
      <c r="A187" s="38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7"/>
      <c r="AJ187" s="35"/>
      <c r="AK187" s="35"/>
      <c r="AL187" s="35"/>
    </row>
    <row r="188" spans="1:38" s="26" customFormat="1">
      <c r="A188" s="38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7"/>
      <c r="AJ188" s="35"/>
      <c r="AK188" s="35"/>
      <c r="AL188" s="35"/>
    </row>
    <row r="189" spans="1:38" s="26" customFormat="1">
      <c r="A189" s="38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7"/>
      <c r="AJ189" s="35"/>
      <c r="AK189" s="35"/>
      <c r="AL189" s="35"/>
    </row>
    <row r="190" spans="1:38" s="26" customFormat="1">
      <c r="A190" s="38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7"/>
      <c r="AJ190" s="35"/>
      <c r="AK190" s="35"/>
      <c r="AL190" s="35"/>
    </row>
    <row r="191" spans="1:38" s="26" customFormat="1">
      <c r="A191" s="38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7"/>
      <c r="AJ191" s="35"/>
      <c r="AK191" s="35"/>
      <c r="AL191" s="35"/>
    </row>
    <row r="192" spans="1:38" s="26" customFormat="1">
      <c r="A192" s="38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7"/>
      <c r="AJ192" s="35"/>
      <c r="AK192" s="35"/>
      <c r="AL192" s="35"/>
    </row>
    <row r="193" spans="1:38" s="26" customFormat="1">
      <c r="A193" s="38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7"/>
      <c r="AJ193" s="35"/>
      <c r="AK193" s="35"/>
      <c r="AL193" s="35"/>
    </row>
    <row r="194" spans="1:38" s="26" customFormat="1">
      <c r="A194" s="38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7"/>
      <c r="AJ194" s="35"/>
      <c r="AK194" s="35"/>
      <c r="AL194" s="35"/>
    </row>
    <row r="195" spans="1:38" s="26" customFormat="1">
      <c r="A195" s="38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7"/>
      <c r="AJ195" s="35"/>
      <c r="AK195" s="35"/>
      <c r="AL195" s="35"/>
    </row>
    <row r="196" spans="1:38" s="26" customFormat="1">
      <c r="A196" s="38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7"/>
      <c r="AJ196" s="35"/>
      <c r="AK196" s="35"/>
      <c r="AL196" s="35"/>
    </row>
    <row r="197" spans="1:38" s="26" customFormat="1">
      <c r="A197" s="38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7"/>
      <c r="AJ197" s="35"/>
      <c r="AK197" s="35"/>
      <c r="AL197" s="35"/>
    </row>
    <row r="198" spans="1:38" s="26" customFormat="1">
      <c r="A198" s="38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7"/>
      <c r="AJ198" s="35"/>
      <c r="AK198" s="35"/>
      <c r="AL198" s="35"/>
    </row>
    <row r="199" spans="1:38" s="26" customFormat="1">
      <c r="A199" s="38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7"/>
      <c r="AJ199" s="35"/>
      <c r="AK199" s="35"/>
      <c r="AL199" s="35"/>
    </row>
    <row r="200" spans="1:38" s="26" customFormat="1">
      <c r="A200" s="38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7"/>
      <c r="AJ200" s="35"/>
      <c r="AK200" s="35"/>
      <c r="AL200" s="35"/>
    </row>
    <row r="201" spans="1:38" s="26" customFormat="1">
      <c r="A201" s="38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7"/>
      <c r="AJ201" s="35"/>
      <c r="AK201" s="35"/>
      <c r="AL201" s="35"/>
    </row>
    <row r="202" spans="1:38" s="26" customFormat="1">
      <c r="A202" s="38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7"/>
      <c r="AJ202" s="35"/>
      <c r="AK202" s="35"/>
      <c r="AL202" s="35"/>
    </row>
    <row r="203" spans="1:38" s="26" customFormat="1">
      <c r="A203" s="38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7"/>
      <c r="AJ203" s="35"/>
      <c r="AK203" s="35"/>
      <c r="AL203" s="35"/>
    </row>
    <row r="204" spans="1:38" s="26" customFormat="1">
      <c r="A204" s="38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7"/>
      <c r="AJ204" s="35"/>
      <c r="AK204" s="35"/>
      <c r="AL204" s="35"/>
    </row>
    <row r="205" spans="1:38" s="26" customFormat="1">
      <c r="A205" s="38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7"/>
      <c r="AJ205" s="35"/>
      <c r="AK205" s="35"/>
      <c r="AL205" s="35"/>
    </row>
    <row r="206" spans="1:38" s="26" customFormat="1">
      <c r="A206" s="38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7"/>
      <c r="AJ206" s="35"/>
      <c r="AK206" s="35"/>
      <c r="AL206" s="35"/>
    </row>
    <row r="207" spans="1:38" s="26" customFormat="1">
      <c r="A207" s="38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7"/>
      <c r="AJ207" s="35"/>
      <c r="AK207" s="35"/>
      <c r="AL207" s="35"/>
    </row>
    <row r="208" spans="1:38" s="26" customFormat="1">
      <c r="A208" s="38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7"/>
      <c r="AJ208" s="35"/>
      <c r="AK208" s="35"/>
      <c r="AL208" s="35"/>
    </row>
    <row r="209" spans="1:38" s="26" customFormat="1">
      <c r="A209" s="38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7"/>
      <c r="AJ209" s="35"/>
      <c r="AK209" s="35"/>
      <c r="AL209" s="35"/>
    </row>
    <row r="210" spans="1:38" s="26" customFormat="1">
      <c r="A210" s="38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7"/>
      <c r="AJ210" s="35"/>
      <c r="AK210" s="35"/>
      <c r="AL210" s="35"/>
    </row>
    <row r="211" spans="1:38" s="26" customFormat="1">
      <c r="A211" s="38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7"/>
      <c r="AJ211" s="35"/>
      <c r="AK211" s="35"/>
      <c r="AL211" s="35"/>
    </row>
    <row r="212" spans="1:38" s="26" customFormat="1">
      <c r="A212" s="38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7"/>
      <c r="AJ212" s="35"/>
      <c r="AK212" s="35"/>
      <c r="AL212" s="35"/>
    </row>
    <row r="213" spans="1:38" s="26" customFormat="1">
      <c r="A213" s="38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7"/>
      <c r="AJ213" s="35"/>
      <c r="AK213" s="35"/>
      <c r="AL213" s="35"/>
    </row>
    <row r="214" spans="1:38" s="26" customFormat="1">
      <c r="A214" s="38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7"/>
      <c r="AJ214" s="35"/>
      <c r="AK214" s="35"/>
      <c r="AL214" s="35"/>
    </row>
    <row r="215" spans="1:38" s="26" customFormat="1">
      <c r="A215" s="38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7"/>
      <c r="AJ215" s="35"/>
      <c r="AK215" s="35"/>
      <c r="AL215" s="35"/>
    </row>
    <row r="216" spans="1:38" s="26" customFormat="1">
      <c r="A216" s="38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7"/>
      <c r="AJ216" s="35"/>
      <c r="AK216" s="35"/>
      <c r="AL216" s="35"/>
    </row>
    <row r="217" spans="1:38" s="26" customFormat="1">
      <c r="A217" s="38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7"/>
      <c r="AJ217" s="35"/>
      <c r="AK217" s="35"/>
      <c r="AL217" s="35"/>
    </row>
    <row r="218" spans="1:38" s="26" customFormat="1">
      <c r="A218" s="38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7"/>
      <c r="AJ218" s="35"/>
      <c r="AK218" s="35"/>
      <c r="AL218" s="35"/>
    </row>
    <row r="219" spans="1:38" s="26" customFormat="1">
      <c r="A219" s="38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7"/>
      <c r="AJ219" s="35"/>
      <c r="AK219" s="35"/>
      <c r="AL219" s="35"/>
    </row>
    <row r="220" spans="1:38" s="26" customFormat="1">
      <c r="A220" s="38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7"/>
      <c r="AJ220" s="35"/>
      <c r="AK220" s="35"/>
      <c r="AL220" s="35"/>
    </row>
    <row r="221" spans="1:38" s="26" customFormat="1">
      <c r="A221" s="38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7"/>
      <c r="AJ221" s="35"/>
      <c r="AK221" s="35"/>
      <c r="AL221" s="35"/>
    </row>
    <row r="222" spans="1:38" s="26" customFormat="1">
      <c r="A222" s="38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7"/>
      <c r="AJ222" s="35"/>
      <c r="AK222" s="35"/>
      <c r="AL222" s="35"/>
    </row>
    <row r="223" spans="1:38" s="26" customFormat="1">
      <c r="A223" s="38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7"/>
      <c r="AJ223" s="35"/>
      <c r="AK223" s="35"/>
      <c r="AL223" s="35"/>
    </row>
    <row r="224" spans="1:38" s="26" customFormat="1">
      <c r="A224" s="38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7"/>
      <c r="AJ224" s="35"/>
      <c r="AK224" s="35"/>
      <c r="AL224" s="35"/>
    </row>
    <row r="225" spans="1:44" s="26" customFormat="1">
      <c r="A225" s="38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7"/>
      <c r="AJ225" s="35"/>
      <c r="AK225" s="35"/>
      <c r="AL225" s="35"/>
    </row>
    <row r="226" spans="1:44" s="26" customFormat="1">
      <c r="A226" s="38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7"/>
      <c r="AJ226" s="35"/>
      <c r="AK226" s="35"/>
      <c r="AL226" s="35"/>
    </row>
    <row r="227" spans="1:44" s="26" customFormat="1">
      <c r="A227" s="38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7"/>
      <c r="AJ227" s="35"/>
      <c r="AK227" s="35"/>
      <c r="AL227" s="35"/>
    </row>
    <row r="228" spans="1:44" s="26" customFormat="1">
      <c r="A228" s="38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7"/>
      <c r="AJ228" s="35"/>
      <c r="AK228" s="35"/>
      <c r="AL228" s="35"/>
    </row>
    <row r="229" spans="1:44" s="26" customFormat="1">
      <c r="A229" s="38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7"/>
      <c r="AJ229" s="35"/>
      <c r="AK229" s="35"/>
      <c r="AL229" s="35"/>
    </row>
    <row r="230" spans="1:44" s="26" customFormat="1">
      <c r="A230" s="38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7"/>
      <c r="AJ230" s="35"/>
      <c r="AK230" s="35"/>
      <c r="AL230" s="35"/>
    </row>
    <row r="231" spans="1:44" s="26" customFormat="1">
      <c r="A231" s="38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7"/>
      <c r="AJ231" s="35"/>
      <c r="AK231" s="35"/>
      <c r="AL231" s="35"/>
    </row>
    <row r="232" spans="1:44" s="26" customFormat="1">
      <c r="A232" s="38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7"/>
      <c r="AJ232" s="35"/>
      <c r="AK232" s="35"/>
      <c r="AL232" s="35"/>
    </row>
    <row r="233" spans="1:44" s="26" customFormat="1">
      <c r="A233" s="38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7"/>
      <c r="AJ233" s="35"/>
      <c r="AK233" s="35"/>
      <c r="AL233" s="35"/>
    </row>
    <row r="234" spans="1:44" s="26" customFormat="1">
      <c r="A234" s="38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7"/>
      <c r="AJ234" s="35"/>
      <c r="AK234" s="35"/>
      <c r="AL234" s="35"/>
    </row>
    <row r="235" spans="1:44">
      <c r="AM235" s="26"/>
      <c r="AN235" s="26"/>
      <c r="AO235" s="26"/>
      <c r="AP235" s="26"/>
      <c r="AQ235" s="26"/>
      <c r="AR235" s="26"/>
    </row>
    <row r="236" spans="1:44">
      <c r="AM236" s="26"/>
      <c r="AN236" s="26"/>
      <c r="AO236" s="26"/>
      <c r="AP236" s="26"/>
      <c r="AQ236" s="26"/>
      <c r="AR236" s="26"/>
    </row>
    <row r="237" spans="1:44">
      <c r="AM237" s="26"/>
      <c r="AN237" s="26"/>
      <c r="AO237" s="26"/>
      <c r="AP237" s="26"/>
      <c r="AQ237" s="26"/>
      <c r="AR237" s="26"/>
    </row>
    <row r="238" spans="1:44">
      <c r="AM238" s="26"/>
      <c r="AN238" s="26"/>
      <c r="AO238" s="26"/>
      <c r="AP238" s="26"/>
      <c r="AQ238" s="26"/>
      <c r="AR238" s="26"/>
    </row>
    <row r="239" spans="1:44">
      <c r="AM239" s="26"/>
      <c r="AN239" s="26"/>
      <c r="AO239" s="26"/>
      <c r="AP239" s="26"/>
      <c r="AQ239" s="26"/>
      <c r="AR239" s="26"/>
    </row>
    <row r="240" spans="1:44">
      <c r="AM240" s="26"/>
      <c r="AN240" s="26"/>
      <c r="AO240" s="26"/>
      <c r="AP240" s="26"/>
      <c r="AQ240" s="26"/>
      <c r="AR240" s="26"/>
    </row>
    <row r="241" spans="39:44">
      <c r="AM241" s="26"/>
      <c r="AN241" s="26"/>
      <c r="AO241" s="26"/>
      <c r="AP241" s="26"/>
      <c r="AQ241" s="26"/>
      <c r="AR241" s="26"/>
    </row>
  </sheetData>
  <mergeCells count="32">
    <mergeCell ref="G31:L31"/>
    <mergeCell ref="R31:V31"/>
    <mergeCell ref="AC31:AG31"/>
    <mergeCell ref="AR4:AR5"/>
    <mergeCell ref="AQ4:AQ5"/>
    <mergeCell ref="AB23:AG23"/>
    <mergeCell ref="AN3:AO3"/>
    <mergeCell ref="A3:AM3"/>
    <mergeCell ref="AM23:AP23"/>
    <mergeCell ref="A4:A5"/>
    <mergeCell ref="B4:B5"/>
    <mergeCell ref="C4:C5"/>
    <mergeCell ref="AI4:AI5"/>
    <mergeCell ref="AJ4:AJ5"/>
    <mergeCell ref="AK4:AK5"/>
    <mergeCell ref="AO4:AO5"/>
    <mergeCell ref="A12:D12"/>
    <mergeCell ref="A13:C13"/>
    <mergeCell ref="AI13:AP13"/>
    <mergeCell ref="AL4:AL5"/>
    <mergeCell ref="E23:N23"/>
    <mergeCell ref="Q23:V23"/>
    <mergeCell ref="A18:C18"/>
    <mergeCell ref="A19:C19"/>
    <mergeCell ref="AM4:AM5"/>
    <mergeCell ref="AN4:AN5"/>
    <mergeCell ref="AP4:AP5"/>
    <mergeCell ref="A17:C17"/>
    <mergeCell ref="A14:C14"/>
    <mergeCell ref="A15:C15"/>
    <mergeCell ref="A16:C16"/>
    <mergeCell ref="D10:AD10"/>
  </mergeCells>
  <pageMargins left="0.7" right="0.7" top="0.75" bottom="0.75" header="0.3" footer="0.3"/>
  <pageSetup paperSize="9" scale="4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42"/>
  <sheetViews>
    <sheetView view="pageBreakPreview" zoomScale="80" zoomScaleNormal="85" zoomScaleSheetLayoutView="8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AG24" sqref="AG24"/>
    </sheetView>
  </sheetViews>
  <sheetFormatPr defaultColWidth="8.85546875" defaultRowHeight="15"/>
  <cols>
    <col min="1" max="1" width="5.7109375" style="9" customWidth="1"/>
    <col min="2" max="2" width="26.28515625" style="2" customWidth="1"/>
    <col min="3" max="3" width="11.140625" style="2" customWidth="1"/>
    <col min="4" max="4" width="4.42578125" style="6" customWidth="1"/>
    <col min="5" max="25" width="4.28515625" style="6" customWidth="1"/>
    <col min="26" max="26" width="5" style="6" customWidth="1"/>
    <col min="27" max="34" width="4.28515625" style="6" customWidth="1"/>
    <col min="35" max="38" width="6.28515625" style="6" customWidth="1"/>
    <col min="39" max="39" width="8.28515625" style="6" customWidth="1"/>
    <col min="40" max="40" width="11.85546875" style="2" customWidth="1"/>
    <col min="41" max="41" width="9.7109375" style="2" customWidth="1"/>
    <col min="42" max="43" width="9.85546875" style="2" customWidth="1"/>
    <col min="44" max="44" width="10.7109375" style="2" customWidth="1"/>
    <col min="45" max="45" width="11.42578125" style="2" customWidth="1"/>
    <col min="46" max="46" width="15.7109375" style="2" customWidth="1"/>
    <col min="47" max="47" width="9.42578125" style="2" customWidth="1"/>
    <col min="48" max="16384" width="8.85546875" style="2"/>
  </cols>
  <sheetData>
    <row r="1" spans="1:49" ht="15" customHeight="1">
      <c r="A1" s="14" t="s">
        <v>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9" ht="15" customHeight="1">
      <c r="A2" s="14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</row>
    <row r="3" spans="1:49" ht="63" customHeight="1">
      <c r="A3" s="297" t="s">
        <v>121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45"/>
      <c r="AP3" s="10"/>
      <c r="AQ3" s="10"/>
      <c r="AR3" s="91" t="s">
        <v>11</v>
      </c>
      <c r="AS3" s="92">
        <v>27</v>
      </c>
    </row>
    <row r="4" spans="1:49" ht="45" customHeight="1">
      <c r="A4" s="298" t="s">
        <v>0</v>
      </c>
      <c r="B4" s="298" t="s">
        <v>1</v>
      </c>
      <c r="C4" s="298" t="s">
        <v>12</v>
      </c>
      <c r="D4" s="22">
        <v>46204</v>
      </c>
      <c r="E4" s="42">
        <f>D4+1</f>
        <v>46205</v>
      </c>
      <c r="F4" s="42">
        <f t="shared" ref="F4:AH4" si="0">E4+1</f>
        <v>46206</v>
      </c>
      <c r="G4" s="42">
        <f t="shared" si="0"/>
        <v>46207</v>
      </c>
      <c r="H4" s="42">
        <f t="shared" si="0"/>
        <v>46208</v>
      </c>
      <c r="I4" s="42">
        <f t="shared" si="0"/>
        <v>46209</v>
      </c>
      <c r="J4" s="42">
        <f t="shared" si="0"/>
        <v>46210</v>
      </c>
      <c r="K4" s="42">
        <f t="shared" si="0"/>
        <v>46211</v>
      </c>
      <c r="L4" s="42">
        <f t="shared" si="0"/>
        <v>46212</v>
      </c>
      <c r="M4" s="42">
        <f t="shared" si="0"/>
        <v>46213</v>
      </c>
      <c r="N4" s="42">
        <f t="shared" si="0"/>
        <v>46214</v>
      </c>
      <c r="O4" s="42">
        <f t="shared" si="0"/>
        <v>46215</v>
      </c>
      <c r="P4" s="42">
        <f t="shared" si="0"/>
        <v>46216</v>
      </c>
      <c r="Q4" s="42">
        <f t="shared" si="0"/>
        <v>46217</v>
      </c>
      <c r="R4" s="42">
        <f t="shared" si="0"/>
        <v>46218</v>
      </c>
      <c r="S4" s="42">
        <f t="shared" si="0"/>
        <v>46219</v>
      </c>
      <c r="T4" s="42">
        <f t="shared" si="0"/>
        <v>46220</v>
      </c>
      <c r="U4" s="42">
        <f t="shared" si="0"/>
        <v>46221</v>
      </c>
      <c r="V4" s="42">
        <f t="shared" si="0"/>
        <v>46222</v>
      </c>
      <c r="W4" s="42">
        <f t="shared" si="0"/>
        <v>46223</v>
      </c>
      <c r="X4" s="42">
        <f t="shared" si="0"/>
        <v>46224</v>
      </c>
      <c r="Y4" s="42">
        <f t="shared" si="0"/>
        <v>46225</v>
      </c>
      <c r="Z4" s="42">
        <f t="shared" si="0"/>
        <v>46226</v>
      </c>
      <c r="AA4" s="42">
        <f t="shared" si="0"/>
        <v>46227</v>
      </c>
      <c r="AB4" s="42">
        <f t="shared" si="0"/>
        <v>46228</v>
      </c>
      <c r="AC4" s="42">
        <f t="shared" si="0"/>
        <v>46229</v>
      </c>
      <c r="AD4" s="42">
        <f t="shared" si="0"/>
        <v>46230</v>
      </c>
      <c r="AE4" s="42">
        <f t="shared" si="0"/>
        <v>46231</v>
      </c>
      <c r="AF4" s="42">
        <f t="shared" si="0"/>
        <v>46232</v>
      </c>
      <c r="AG4" s="42">
        <f t="shared" si="0"/>
        <v>46233</v>
      </c>
      <c r="AH4" s="42">
        <f t="shared" si="0"/>
        <v>46234</v>
      </c>
      <c r="AI4" s="291" t="s">
        <v>13</v>
      </c>
      <c r="AJ4" s="291" t="s">
        <v>49</v>
      </c>
      <c r="AK4" s="291" t="s">
        <v>14</v>
      </c>
      <c r="AL4" s="291" t="s">
        <v>103</v>
      </c>
      <c r="AM4" s="296" t="s">
        <v>15</v>
      </c>
      <c r="AN4" s="296" t="s">
        <v>13</v>
      </c>
      <c r="AO4" s="296" t="s">
        <v>47</v>
      </c>
      <c r="AP4" s="296" t="s">
        <v>48</v>
      </c>
      <c r="AQ4" s="296" t="s">
        <v>102</v>
      </c>
      <c r="AR4" s="296" t="s">
        <v>16</v>
      </c>
      <c r="AS4" s="299" t="s">
        <v>6</v>
      </c>
      <c r="AT4" s="300" t="s">
        <v>7</v>
      </c>
      <c r="AU4" s="296" t="s">
        <v>115</v>
      </c>
      <c r="AV4" s="296" t="s">
        <v>116</v>
      </c>
      <c r="AW4" s="11"/>
    </row>
    <row r="5" spans="1:49" ht="51" customHeight="1">
      <c r="A5" s="298"/>
      <c r="B5" s="298"/>
      <c r="C5" s="298"/>
      <c r="D5" s="24" t="str">
        <f t="shared" ref="D5:AH5" si="1">IF(WEEKDAY(D4)=1,"CN","T "&amp;WEEKDAY(D4))</f>
        <v>T 4</v>
      </c>
      <c r="E5" s="24" t="str">
        <f t="shared" si="1"/>
        <v>T 5</v>
      </c>
      <c r="F5" s="24" t="str">
        <f t="shared" si="1"/>
        <v>T 6</v>
      </c>
      <c r="G5" s="24" t="str">
        <f t="shared" si="1"/>
        <v>T 7</v>
      </c>
      <c r="H5" s="24" t="str">
        <f t="shared" si="1"/>
        <v>CN</v>
      </c>
      <c r="I5" s="24" t="str">
        <f t="shared" si="1"/>
        <v>T 2</v>
      </c>
      <c r="J5" s="24" t="str">
        <f t="shared" si="1"/>
        <v>T 3</v>
      </c>
      <c r="K5" s="24" t="str">
        <f t="shared" si="1"/>
        <v>T 4</v>
      </c>
      <c r="L5" s="24" t="str">
        <f t="shared" si="1"/>
        <v>T 5</v>
      </c>
      <c r="M5" s="24" t="str">
        <f t="shared" si="1"/>
        <v>T 6</v>
      </c>
      <c r="N5" s="24" t="str">
        <f t="shared" si="1"/>
        <v>T 7</v>
      </c>
      <c r="O5" s="24" t="str">
        <f t="shared" si="1"/>
        <v>CN</v>
      </c>
      <c r="P5" s="24" t="str">
        <f t="shared" si="1"/>
        <v>T 2</v>
      </c>
      <c r="Q5" s="24" t="str">
        <f t="shared" si="1"/>
        <v>T 3</v>
      </c>
      <c r="R5" s="24" t="str">
        <f t="shared" si="1"/>
        <v>T 4</v>
      </c>
      <c r="S5" s="24" t="str">
        <f t="shared" si="1"/>
        <v>T 5</v>
      </c>
      <c r="T5" s="24" t="str">
        <f t="shared" si="1"/>
        <v>T 6</v>
      </c>
      <c r="U5" s="24" t="str">
        <f t="shared" si="1"/>
        <v>T 7</v>
      </c>
      <c r="V5" s="24" t="str">
        <f t="shared" si="1"/>
        <v>CN</v>
      </c>
      <c r="W5" s="24" t="str">
        <f t="shared" si="1"/>
        <v>T 2</v>
      </c>
      <c r="X5" s="24" t="str">
        <f t="shared" si="1"/>
        <v>T 3</v>
      </c>
      <c r="Y5" s="24" t="str">
        <f t="shared" si="1"/>
        <v>T 4</v>
      </c>
      <c r="Z5" s="24" t="str">
        <f t="shared" si="1"/>
        <v>T 5</v>
      </c>
      <c r="AA5" s="24" t="str">
        <f t="shared" si="1"/>
        <v>T 6</v>
      </c>
      <c r="AB5" s="24" t="str">
        <f t="shared" si="1"/>
        <v>T 7</v>
      </c>
      <c r="AC5" s="24" t="str">
        <f t="shared" si="1"/>
        <v>CN</v>
      </c>
      <c r="AD5" s="24" t="str">
        <f t="shared" si="1"/>
        <v>T 2</v>
      </c>
      <c r="AE5" s="24" t="str">
        <f t="shared" si="1"/>
        <v>T 3</v>
      </c>
      <c r="AF5" s="24" t="str">
        <f t="shared" si="1"/>
        <v>T 4</v>
      </c>
      <c r="AG5" s="24" t="str">
        <f t="shared" si="1"/>
        <v>T 5</v>
      </c>
      <c r="AH5" s="24" t="str">
        <f t="shared" si="1"/>
        <v>T 6</v>
      </c>
      <c r="AI5" s="291"/>
      <c r="AJ5" s="291"/>
      <c r="AK5" s="291"/>
      <c r="AL5" s="291"/>
      <c r="AM5" s="296"/>
      <c r="AN5" s="296"/>
      <c r="AO5" s="296"/>
      <c r="AP5" s="296"/>
      <c r="AQ5" s="296"/>
      <c r="AR5" s="296"/>
      <c r="AS5" s="299"/>
      <c r="AT5" s="300"/>
      <c r="AU5" s="296"/>
      <c r="AV5" s="296"/>
    </row>
    <row r="6" spans="1:49" s="5" customFormat="1" ht="36.75" customHeight="1">
      <c r="A6" s="3">
        <v>1</v>
      </c>
      <c r="B6" s="172" t="s">
        <v>79</v>
      </c>
      <c r="C6" s="25" t="s">
        <v>107</v>
      </c>
      <c r="D6" s="232"/>
      <c r="E6" s="233"/>
      <c r="F6" s="232"/>
      <c r="G6" s="232"/>
      <c r="H6" s="232"/>
      <c r="I6" s="232"/>
      <c r="J6" s="232">
        <v>5</v>
      </c>
      <c r="K6" s="232"/>
      <c r="L6" s="233"/>
      <c r="M6" s="232"/>
      <c r="N6" s="232"/>
      <c r="O6" s="232"/>
      <c r="P6" s="233"/>
      <c r="Q6" s="233"/>
      <c r="R6" s="232"/>
      <c r="S6" s="232">
        <v>5</v>
      </c>
      <c r="T6" s="232"/>
      <c r="U6" s="232"/>
      <c r="V6" s="234"/>
      <c r="W6" s="232">
        <v>5</v>
      </c>
      <c r="X6" s="232">
        <v>5</v>
      </c>
      <c r="Y6" s="232"/>
      <c r="Z6" s="232"/>
      <c r="AA6" s="232"/>
      <c r="AB6" s="232"/>
      <c r="AC6" s="232">
        <v>5</v>
      </c>
      <c r="AD6" s="232"/>
      <c r="AE6" s="232">
        <v>5</v>
      </c>
      <c r="AF6" s="232">
        <v>5</v>
      </c>
      <c r="AG6" s="232"/>
      <c r="AH6" s="232"/>
      <c r="AI6" s="168">
        <f>SUM(D6:AH6)-AJ6-AK6-AL6</f>
        <v>35</v>
      </c>
      <c r="AJ6" s="169"/>
      <c r="AK6" s="169"/>
      <c r="AL6" s="169"/>
      <c r="AM6" s="4">
        <f>AI6+AJ6+AK6+AL6</f>
        <v>35</v>
      </c>
      <c r="AN6" s="221">
        <f>5860000/$AS$3/8*AI6*150%</f>
        <v>1424305.5555555555</v>
      </c>
      <c r="AO6" s="221">
        <f>5860000/$AS$3/8*AJ6*200%</f>
        <v>0</v>
      </c>
      <c r="AP6" s="222">
        <f>5860000/$AS$3/8*AK6*300%</f>
        <v>0</v>
      </c>
      <c r="AQ6" s="222">
        <f>5860000/$AS$3/8*AL6*200%</f>
        <v>0</v>
      </c>
      <c r="AR6" s="12">
        <f t="shared" ref="AR6" si="2">SUM(AN6:AP6)</f>
        <v>1424305.5555555555</v>
      </c>
      <c r="AS6" s="13"/>
      <c r="AT6" s="177"/>
      <c r="AU6" s="220">
        <v>5</v>
      </c>
      <c r="AV6" s="5">
        <v>0</v>
      </c>
    </row>
    <row r="7" spans="1:49" s="5" customFormat="1" ht="36.75" customHeight="1">
      <c r="A7" s="3">
        <v>2</v>
      </c>
      <c r="B7" s="172" t="s">
        <v>81</v>
      </c>
      <c r="C7" s="25" t="s">
        <v>50</v>
      </c>
      <c r="D7" s="232">
        <v>5</v>
      </c>
      <c r="E7" s="232"/>
      <c r="F7" s="232"/>
      <c r="G7" s="232"/>
      <c r="H7" s="232"/>
      <c r="I7" s="233"/>
      <c r="J7" s="234"/>
      <c r="K7" s="232">
        <v>5</v>
      </c>
      <c r="L7" s="232"/>
      <c r="M7" s="232"/>
      <c r="N7" s="232"/>
      <c r="O7" s="232"/>
      <c r="P7" s="232">
        <v>5</v>
      </c>
      <c r="Q7" s="232"/>
      <c r="R7" s="232"/>
      <c r="S7" s="233"/>
      <c r="T7" s="232"/>
      <c r="U7" s="232"/>
      <c r="V7" s="232"/>
      <c r="W7" s="233"/>
      <c r="X7" s="232">
        <v>5</v>
      </c>
      <c r="Y7" s="232"/>
      <c r="Z7" s="232"/>
      <c r="AA7" s="232"/>
      <c r="AB7" s="232">
        <v>5</v>
      </c>
      <c r="AC7" s="232"/>
      <c r="AD7" s="232"/>
      <c r="AE7" s="232">
        <v>5</v>
      </c>
      <c r="AF7" s="233"/>
      <c r="AG7" s="232">
        <v>5</v>
      </c>
      <c r="AH7" s="232"/>
      <c r="AI7" s="168">
        <f>SUM(D7:AH7)-AJ7-AK7-AL7</f>
        <v>35</v>
      </c>
      <c r="AJ7" s="169"/>
      <c r="AK7" s="169"/>
      <c r="AL7" s="169"/>
      <c r="AM7" s="4">
        <f>AI7+AJ7+AK7+AL7</f>
        <v>35</v>
      </c>
      <c r="AN7" s="221">
        <f t="shared" ref="AN7:AN9" si="3">5310000/$AS$3/8*AI7*150%</f>
        <v>1290625</v>
      </c>
      <c r="AO7" s="221">
        <f t="shared" ref="AO7:AO9" si="4">5310000/$AS$3/8*AJ7*200%</f>
        <v>0</v>
      </c>
      <c r="AP7" s="222">
        <f t="shared" ref="AP7:AP9" si="5">5310000/$AS$3/8*AK7*300%</f>
        <v>0</v>
      </c>
      <c r="AQ7" s="222">
        <f t="shared" ref="AQ7:AQ9" si="6">5310000/$AS$3/8*AL7*200%</f>
        <v>0</v>
      </c>
      <c r="AR7" s="12">
        <f t="shared" ref="AR7" si="7">SUM(AN7:AP7)</f>
        <v>1290625</v>
      </c>
      <c r="AS7" s="13"/>
      <c r="AT7" s="177"/>
      <c r="AU7" s="220">
        <v>5</v>
      </c>
      <c r="AV7" s="5">
        <v>0</v>
      </c>
    </row>
    <row r="8" spans="1:49" s="5" customFormat="1" ht="36.75" customHeight="1">
      <c r="A8" s="3">
        <v>3</v>
      </c>
      <c r="B8" s="172" t="s">
        <v>108</v>
      </c>
      <c r="C8" s="25" t="s">
        <v>50</v>
      </c>
      <c r="D8" s="233"/>
      <c r="E8" s="232"/>
      <c r="F8" s="232">
        <v>5</v>
      </c>
      <c r="G8" s="232"/>
      <c r="H8" s="232"/>
      <c r="I8" s="232">
        <v>5</v>
      </c>
      <c r="J8" s="232"/>
      <c r="K8" s="233"/>
      <c r="L8" s="232"/>
      <c r="M8" s="232">
        <v>5</v>
      </c>
      <c r="N8" s="232"/>
      <c r="O8" s="232"/>
      <c r="P8" s="232"/>
      <c r="Q8" s="232"/>
      <c r="R8" s="232">
        <v>5</v>
      </c>
      <c r="S8" s="232">
        <v>5</v>
      </c>
      <c r="T8" s="232"/>
      <c r="U8" s="232"/>
      <c r="V8" s="232"/>
      <c r="W8" s="232"/>
      <c r="X8" s="233"/>
      <c r="Y8" s="234"/>
      <c r="Z8" s="232"/>
      <c r="AA8" s="232">
        <v>5</v>
      </c>
      <c r="AB8" s="232"/>
      <c r="AC8" s="232"/>
      <c r="AD8" s="232">
        <v>5</v>
      </c>
      <c r="AE8" s="233"/>
      <c r="AF8" s="232">
        <v>5</v>
      </c>
      <c r="AG8" s="232"/>
      <c r="AH8" s="232">
        <v>5</v>
      </c>
      <c r="AI8" s="168">
        <f t="shared" ref="AI8:AI10" si="8">SUM(D8:AH8)-AJ8-AK8-AL8</f>
        <v>45</v>
      </c>
      <c r="AJ8" s="169"/>
      <c r="AK8" s="169"/>
      <c r="AL8" s="169"/>
      <c r="AM8" s="4">
        <f t="shared" ref="AM8:AM10" si="9">AI8+AJ8+AK8+AL8</f>
        <v>45</v>
      </c>
      <c r="AN8" s="221">
        <f t="shared" si="3"/>
        <v>1659375</v>
      </c>
      <c r="AO8" s="221">
        <f t="shared" si="4"/>
        <v>0</v>
      </c>
      <c r="AP8" s="222">
        <f t="shared" si="5"/>
        <v>0</v>
      </c>
      <c r="AQ8" s="222">
        <f t="shared" si="6"/>
        <v>0</v>
      </c>
      <c r="AR8" s="12">
        <f t="shared" ref="AR8" si="10">SUM(AN8:AP8)</f>
        <v>1659375</v>
      </c>
      <c r="AS8" s="13"/>
      <c r="AT8" s="177"/>
      <c r="AU8" s="220">
        <v>5</v>
      </c>
      <c r="AV8" s="5">
        <v>0</v>
      </c>
    </row>
    <row r="9" spans="1:49" s="5" customFormat="1" ht="36.75" customHeight="1">
      <c r="A9" s="3">
        <v>4</v>
      </c>
      <c r="B9" s="172" t="s">
        <v>95</v>
      </c>
      <c r="C9" s="25" t="s">
        <v>50</v>
      </c>
      <c r="D9" s="232"/>
      <c r="E9" s="232">
        <v>5</v>
      </c>
      <c r="F9" s="233"/>
      <c r="G9" s="232"/>
      <c r="H9" s="232"/>
      <c r="I9" s="232"/>
      <c r="J9" s="232"/>
      <c r="K9" s="232"/>
      <c r="L9" s="232">
        <v>5</v>
      </c>
      <c r="M9" s="233"/>
      <c r="N9" s="232"/>
      <c r="O9" s="232"/>
      <c r="P9" s="232"/>
      <c r="Q9" s="232">
        <v>5</v>
      </c>
      <c r="R9" s="233"/>
      <c r="S9" s="232">
        <v>5</v>
      </c>
      <c r="T9" s="232"/>
      <c r="U9" s="232"/>
      <c r="V9" s="232">
        <v>5</v>
      </c>
      <c r="W9" s="232"/>
      <c r="X9" s="232">
        <v>5</v>
      </c>
      <c r="Y9" s="232">
        <v>5</v>
      </c>
      <c r="Z9" s="232"/>
      <c r="AA9" s="233"/>
      <c r="AB9" s="232"/>
      <c r="AC9" s="232"/>
      <c r="AD9" s="232"/>
      <c r="AE9" s="232"/>
      <c r="AF9" s="232"/>
      <c r="AG9" s="232"/>
      <c r="AH9" s="232"/>
      <c r="AI9" s="168">
        <f t="shared" si="8"/>
        <v>35</v>
      </c>
      <c r="AJ9" s="169"/>
      <c r="AK9" s="169"/>
      <c r="AL9" s="169"/>
      <c r="AM9" s="4">
        <f t="shared" si="9"/>
        <v>35</v>
      </c>
      <c r="AN9" s="221">
        <f t="shared" si="3"/>
        <v>1290625</v>
      </c>
      <c r="AO9" s="221">
        <f t="shared" si="4"/>
        <v>0</v>
      </c>
      <c r="AP9" s="222">
        <f t="shared" si="5"/>
        <v>0</v>
      </c>
      <c r="AQ9" s="222">
        <f t="shared" si="6"/>
        <v>0</v>
      </c>
      <c r="AR9" s="12">
        <f t="shared" ref="AR9:AR10" si="11">SUM(AN9:AP9)</f>
        <v>1290625</v>
      </c>
      <c r="AS9" s="13"/>
      <c r="AT9" s="177"/>
      <c r="AU9" s="220">
        <v>15</v>
      </c>
      <c r="AV9" s="5">
        <v>0</v>
      </c>
    </row>
    <row r="10" spans="1:49" s="5" customFormat="1" ht="36.75" customHeight="1">
      <c r="A10" s="3">
        <v>5</v>
      </c>
      <c r="B10" s="172" t="s">
        <v>214</v>
      </c>
      <c r="C10" s="25" t="s">
        <v>50</v>
      </c>
      <c r="D10" s="270" t="s">
        <v>218</v>
      </c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2"/>
      <c r="AE10" s="238"/>
      <c r="AF10" s="238"/>
      <c r="AG10" s="238"/>
      <c r="AH10" s="239"/>
      <c r="AI10" s="168">
        <f t="shared" si="8"/>
        <v>0</v>
      </c>
      <c r="AJ10" s="169"/>
      <c r="AK10" s="169"/>
      <c r="AL10" s="169"/>
      <c r="AM10" s="4">
        <f t="shared" si="9"/>
        <v>0</v>
      </c>
      <c r="AN10" s="221">
        <f t="shared" ref="AN10" si="12">5310000/$AS$3/8*AI10*150%</f>
        <v>0</v>
      </c>
      <c r="AO10" s="221">
        <f t="shared" ref="AO10" si="13">5310000/$AS$3/8*AJ10*200%</f>
        <v>0</v>
      </c>
      <c r="AP10" s="222">
        <f t="shared" ref="AP10" si="14">5310000/$AS$3/8*AK10*300%</f>
        <v>0</v>
      </c>
      <c r="AQ10" s="222">
        <f t="shared" ref="AQ10" si="15">5310000/$AS$3/8*AL10*200%</f>
        <v>0</v>
      </c>
      <c r="AR10" s="12">
        <f t="shared" si="11"/>
        <v>0</v>
      </c>
      <c r="AS10" s="13"/>
      <c r="AT10" s="177"/>
      <c r="AU10" s="231"/>
    </row>
    <row r="11" spans="1:49" s="5" customFormat="1">
      <c r="A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49" s="5" customFormat="1">
      <c r="A12" s="8"/>
      <c r="D12" s="290"/>
      <c r="E12" s="290"/>
      <c r="F12" s="290"/>
      <c r="G12" s="290"/>
      <c r="H12" s="290"/>
      <c r="I12" s="290"/>
      <c r="J12" s="290"/>
      <c r="K12" s="290"/>
      <c r="L12" s="6"/>
      <c r="M12" s="6"/>
      <c r="N12" s="6"/>
      <c r="O12" s="6"/>
      <c r="P12" s="6"/>
      <c r="Q12" s="6"/>
      <c r="R12" s="6"/>
      <c r="S12" s="6"/>
      <c r="T12" s="6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44"/>
      <c r="AK12" s="7"/>
      <c r="AL12" s="7"/>
      <c r="AM12" s="7"/>
      <c r="AN12" s="7"/>
      <c r="AO12" s="7"/>
      <c r="AP12" s="7"/>
      <c r="AQ12" s="7"/>
      <c r="AR12" s="290"/>
      <c r="AS12" s="290"/>
      <c r="AT12" s="290"/>
      <c r="AU12" s="7"/>
    </row>
    <row r="13" spans="1:49" s="140" customFormat="1" ht="14.25">
      <c r="A13" s="139"/>
      <c r="C13" s="295" t="s">
        <v>17</v>
      </c>
      <c r="D13" s="295"/>
      <c r="E13" s="295"/>
      <c r="F13" s="295"/>
      <c r="G13" s="295"/>
      <c r="H13" s="295"/>
      <c r="I13" s="141"/>
      <c r="J13" s="293" t="s">
        <v>8</v>
      </c>
      <c r="K13" s="293"/>
      <c r="L13" s="293"/>
      <c r="M13" s="293"/>
      <c r="N13" s="293"/>
      <c r="O13" s="293"/>
      <c r="P13" s="293"/>
      <c r="Q13" s="293"/>
      <c r="R13" s="293"/>
      <c r="S13" s="293"/>
      <c r="T13" s="141"/>
      <c r="U13" s="141"/>
      <c r="V13" s="141"/>
      <c r="W13" s="293" t="s">
        <v>18</v>
      </c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142"/>
      <c r="AK13" s="141"/>
      <c r="AL13" s="141"/>
      <c r="AM13" s="141"/>
      <c r="AN13" s="295" t="s">
        <v>19</v>
      </c>
      <c r="AO13" s="295"/>
      <c r="AP13" s="295"/>
      <c r="AQ13" s="178"/>
      <c r="AR13" s="143"/>
      <c r="AS13" s="144"/>
    </row>
    <row r="14" spans="1:49" s="5" customFormat="1">
      <c r="A14" s="8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49" s="5" customFormat="1">
      <c r="A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49" s="5" customFormat="1">
      <c r="A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44" s="5" customFormat="1">
      <c r="A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44" s="5" customFormat="1">
      <c r="A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44" s="5" customFormat="1">
      <c r="A19" s="8"/>
      <c r="C19" s="286" t="s">
        <v>94</v>
      </c>
      <c r="D19" s="286"/>
      <c r="E19" s="286"/>
      <c r="F19" s="286"/>
      <c r="G19" s="286"/>
      <c r="H19" s="286"/>
      <c r="I19" s="137"/>
      <c r="J19" s="137"/>
      <c r="K19" s="137"/>
      <c r="L19" s="287" t="s">
        <v>117</v>
      </c>
      <c r="M19" s="287"/>
      <c r="N19" s="287"/>
      <c r="O19" s="287"/>
      <c r="P19" s="287"/>
      <c r="Q19" s="287"/>
      <c r="R19" s="287"/>
      <c r="S19" s="135"/>
      <c r="T19" s="135"/>
      <c r="U19" s="135"/>
      <c r="V19" s="135"/>
      <c r="W19" s="135"/>
      <c r="X19" s="135"/>
      <c r="Y19" s="287" t="s">
        <v>113</v>
      </c>
      <c r="Z19" s="287"/>
      <c r="AA19" s="287"/>
      <c r="AB19" s="287"/>
      <c r="AC19" s="287"/>
      <c r="AD19" s="287"/>
      <c r="AE19" s="287"/>
      <c r="AF19" s="287"/>
      <c r="AG19" s="287"/>
      <c r="AH19" s="135"/>
      <c r="AI19" s="134"/>
      <c r="AJ19" s="138"/>
      <c r="AK19" s="134"/>
      <c r="AL19" s="134"/>
      <c r="AM19" s="6"/>
      <c r="AN19" s="294" t="s">
        <v>79</v>
      </c>
      <c r="AO19" s="294"/>
      <c r="AP19" s="294"/>
      <c r="AQ19" s="179"/>
    </row>
    <row r="20" spans="1:44" s="5" customFormat="1">
      <c r="A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44" s="5" customFormat="1">
      <c r="A21" s="8"/>
      <c r="C21" s="292"/>
      <c r="D21" s="292"/>
      <c r="E21" s="292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  <c r="AA21" s="290"/>
      <c r="AB21" s="290"/>
      <c r="AC21" s="290"/>
      <c r="AD21" s="290"/>
      <c r="AE21" s="290"/>
      <c r="AF21" s="19"/>
      <c r="AG21" s="7"/>
      <c r="AH21" s="7"/>
      <c r="AI21" s="6"/>
      <c r="AJ21" s="6"/>
      <c r="AK21" s="6"/>
      <c r="AL21" s="6"/>
      <c r="AM21" s="6"/>
      <c r="AN21" s="292"/>
      <c r="AO21" s="292"/>
      <c r="AP21" s="292"/>
      <c r="AQ21" s="292"/>
      <c r="AR21" s="292"/>
    </row>
    <row r="22" spans="1:44" s="5" customFormat="1">
      <c r="A22" s="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44" s="5" customFormat="1">
      <c r="A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44" s="5" customFormat="1">
      <c r="A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44" s="5" customFormat="1">
      <c r="A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44" s="5" customFormat="1">
      <c r="A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44" s="5" customFormat="1">
      <c r="A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44" s="5" customFormat="1">
      <c r="A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44" s="5" customFormat="1">
      <c r="A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pans="1:44" s="5" customFormat="1">
      <c r="A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spans="1:44" s="5" customFormat="1">
      <c r="A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pans="1:44" s="5" customFormat="1">
      <c r="A32" s="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pans="1:39" s="5" customFormat="1">
      <c r="A33" s="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spans="1:39" s="5" customFormat="1">
      <c r="A34" s="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 s="5" customFormat="1">
      <c r="A35" s="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spans="1:39" s="5" customFormat="1">
      <c r="A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pans="1:39" s="5" customFormat="1">
      <c r="A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pans="1:39" s="5" customFormat="1">
      <c r="A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s="5" customFormat="1">
      <c r="A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s="5" customFormat="1">
      <c r="A40" s="8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s="5" customFormat="1">
      <c r="A41" s="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s="5" customFormat="1">
      <c r="A42" s="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s="5" customFormat="1">
      <c r="A43" s="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s="5" customFormat="1">
      <c r="A44" s="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 s="5" customFormat="1">
      <c r="A45" s="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s="5" customFormat="1">
      <c r="A46" s="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s="5" customFormat="1">
      <c r="A47" s="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s="5" customFormat="1">
      <c r="A48" s="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39" s="5" customFormat="1">
      <c r="A49" s="8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39" s="5" customFormat="1">
      <c r="A50" s="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39" s="5" customFormat="1">
      <c r="A51" s="8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39" s="5" customFormat="1">
      <c r="A52" s="8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 s="5" customFormat="1">
      <c r="A53" s="8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39" s="5" customFormat="1">
      <c r="A54" s="8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s="5" customFormat="1">
      <c r="A55" s="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39" s="5" customFormat="1">
      <c r="A56" s="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 s="5" customFormat="1">
      <c r="A57" s="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39" s="5" customFormat="1">
      <c r="A58" s="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pans="1:39" s="5" customFormat="1">
      <c r="A59" s="8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pans="1:39" s="5" customFormat="1">
      <c r="A60" s="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spans="1:39" s="5" customFormat="1">
      <c r="A61" s="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spans="1:39" s="5" customFormat="1">
      <c r="A62" s="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pans="1:39" s="5" customFormat="1">
      <c r="A63" s="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spans="1:39" s="5" customFormat="1">
      <c r="A64" s="8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spans="1:39" s="5" customFormat="1">
      <c r="A65" s="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pans="1:39" s="5" customFormat="1">
      <c r="A66" s="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spans="1:39" s="5" customFormat="1">
      <c r="A67" s="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spans="1:39" s="5" customFormat="1">
      <c r="A68" s="8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s="5" customFormat="1">
      <c r="A69" s="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spans="1:39" s="5" customFormat="1">
      <c r="A70" s="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s="5" customFormat="1">
      <c r="A71" s="8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spans="1:39" s="5" customFormat="1">
      <c r="A72" s="8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spans="1:39" s="5" customFormat="1">
      <c r="A73" s="8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spans="1:39" s="5" customFormat="1">
      <c r="A74" s="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spans="1:39" s="5" customFormat="1">
      <c r="A75" s="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spans="1:39" s="5" customFormat="1">
      <c r="A76" s="8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pans="1:39" s="5" customFormat="1">
      <c r="A77" s="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spans="1:39" s="5" customFormat="1">
      <c r="A78" s="8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spans="1:39" s="5" customFormat="1">
      <c r="A79" s="8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spans="1:39" s="5" customFormat="1">
      <c r="A80" s="8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spans="1:39" s="5" customFormat="1">
      <c r="A81" s="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spans="1:39" s="5" customFormat="1">
      <c r="A82" s="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pans="1:39" s="5" customFormat="1">
      <c r="A83" s="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spans="1:39" s="5" customFormat="1">
      <c r="A84" s="8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spans="1:39" s="5" customFormat="1">
      <c r="A85" s="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spans="1:39" s="5" customFormat="1">
      <c r="A86" s="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spans="1:39" s="5" customFormat="1">
      <c r="A87" s="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spans="1:39" s="5" customFormat="1">
      <c r="A88" s="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spans="1:39" s="5" customFormat="1">
      <c r="A89" s="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spans="1:39" s="5" customFormat="1">
      <c r="A90" s="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spans="1:39" s="5" customFormat="1">
      <c r="A91" s="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spans="1:39" s="5" customFormat="1">
      <c r="A92" s="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spans="1:39" s="5" customFormat="1">
      <c r="A93" s="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spans="1:39" s="5" customFormat="1">
      <c r="A94" s="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 s="5" customFormat="1">
      <c r="A95" s="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spans="1:39" s="5" customFormat="1">
      <c r="A96" s="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spans="1:39" s="5" customFormat="1">
      <c r="A97" s="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spans="1:39" s="5" customFormat="1">
      <c r="A98" s="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pans="1:39" s="5" customFormat="1">
      <c r="A99" s="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spans="1:39" s="5" customFormat="1">
      <c r="A100" s="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spans="1:39" s="5" customFormat="1">
      <c r="A101" s="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spans="1:39" s="5" customFormat="1">
      <c r="A102" s="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spans="1:39" s="5" customFormat="1">
      <c r="A103" s="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spans="1:39" s="5" customFormat="1">
      <c r="A104" s="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spans="1:39" s="5" customFormat="1">
      <c r="A105" s="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spans="1:39" s="5" customFormat="1">
      <c r="A106" s="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spans="1:39" s="5" customFormat="1">
      <c r="A107" s="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spans="1:39" s="5" customFormat="1">
      <c r="A108" s="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spans="1:39" s="5" customFormat="1">
      <c r="A109" s="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spans="1:39" s="5" customFormat="1">
      <c r="A110" s="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spans="1:39" s="5" customFormat="1">
      <c r="A111" s="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spans="1:39" s="5" customFormat="1">
      <c r="A112" s="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spans="1:39" s="5" customFormat="1">
      <c r="A113" s="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spans="1:39" s="5" customFormat="1">
      <c r="A114" s="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spans="1:39" s="5" customFormat="1">
      <c r="A115" s="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spans="1:39" s="5" customFormat="1">
      <c r="A116" s="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spans="1:39" s="5" customFormat="1">
      <c r="A117" s="8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spans="1:39" s="5" customFormat="1">
      <c r="A118" s="8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spans="1:39" s="5" customFormat="1">
      <c r="A119" s="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spans="1:39" s="5" customFormat="1">
      <c r="A120" s="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spans="1:39" s="5" customFormat="1">
      <c r="A121" s="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spans="1:39" s="5" customFormat="1">
      <c r="A122" s="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spans="1:39" s="5" customFormat="1">
      <c r="A123" s="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spans="1:39" s="5" customFormat="1">
      <c r="A124" s="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spans="1:39" s="5" customFormat="1">
      <c r="A125" s="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spans="1:39" s="5" customFormat="1">
      <c r="A126" s="8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pans="1:39" s="5" customFormat="1">
      <c r="A127" s="8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spans="1:39" s="5" customFormat="1">
      <c r="A128" s="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spans="1:39" s="5" customFormat="1">
      <c r="A129" s="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spans="1:39" s="5" customFormat="1">
      <c r="A130" s="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spans="1:39" s="5" customFormat="1">
      <c r="A131" s="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spans="1:39" s="5" customFormat="1">
      <c r="A132" s="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spans="1:39" s="5" customFormat="1">
      <c r="A133" s="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spans="1:39" s="5" customFormat="1">
      <c r="A134" s="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spans="1:39" s="5" customFormat="1">
      <c r="A135" s="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spans="1:39" s="5" customFormat="1">
      <c r="A136" s="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spans="1:39" s="5" customFormat="1">
      <c r="A137" s="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spans="1:39" s="5" customFormat="1">
      <c r="A138" s="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spans="1:39" s="5" customFormat="1">
      <c r="A139" s="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spans="1:39" s="5" customFormat="1">
      <c r="A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spans="1:39" s="5" customFormat="1">
      <c r="A141" s="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spans="1:39" s="5" customFormat="1">
      <c r="A142" s="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spans="1:39" s="5" customFormat="1">
      <c r="A143" s="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spans="1:39" s="5" customFormat="1">
      <c r="A144" s="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spans="1:39" s="5" customFormat="1">
      <c r="A145" s="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spans="1:39" s="5" customFormat="1">
      <c r="A146" s="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spans="1:39" s="5" customFormat="1">
      <c r="A147" s="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spans="1:39" s="5" customFormat="1">
      <c r="A148" s="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spans="1:39" s="5" customFormat="1">
      <c r="A149" s="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spans="1:39" s="5" customFormat="1">
      <c r="A150" s="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spans="1:39" s="5" customFormat="1">
      <c r="A151" s="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spans="1:39" s="5" customFormat="1">
      <c r="A152" s="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spans="1:39" s="5" customFormat="1">
      <c r="A153" s="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spans="1:39" s="5" customFormat="1">
      <c r="A154" s="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spans="1:39" s="5" customFormat="1">
      <c r="A155" s="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spans="1:39" s="5" customFormat="1">
      <c r="A156" s="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spans="1:39" s="5" customFormat="1">
      <c r="A157" s="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spans="1:39" s="5" customFormat="1">
      <c r="A158" s="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spans="1:39" s="5" customFormat="1">
      <c r="A159" s="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spans="1:39" s="5" customFormat="1">
      <c r="A160" s="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spans="1:39" s="5" customFormat="1">
      <c r="A161" s="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spans="1:39" s="5" customFormat="1">
      <c r="A162" s="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spans="1:39" s="5" customFormat="1">
      <c r="A163" s="8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spans="1:39" s="5" customFormat="1">
      <c r="A164" s="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spans="1:39" s="5" customFormat="1">
      <c r="A165" s="8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spans="1:39" s="5" customFormat="1">
      <c r="A166" s="8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spans="1:39" s="5" customFormat="1">
      <c r="A167" s="8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spans="1:39" s="5" customFormat="1">
      <c r="A168" s="8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spans="1:39" s="5" customFormat="1">
      <c r="A169" s="8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spans="1:39" s="5" customFormat="1">
      <c r="A170" s="8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spans="1:39" s="5" customFormat="1">
      <c r="A171" s="8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spans="1:39" s="5" customFormat="1">
      <c r="A172" s="8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spans="1:39" s="5" customFormat="1">
      <c r="A173" s="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spans="1:39" s="5" customFormat="1">
      <c r="A174" s="8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spans="1:39" s="5" customFormat="1">
      <c r="A175" s="8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spans="1:39" s="5" customFormat="1">
      <c r="A176" s="8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spans="1:39" s="5" customFormat="1">
      <c r="A177" s="8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spans="1:39" s="5" customFormat="1">
      <c r="A178" s="8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spans="1:39" s="5" customFormat="1">
      <c r="A179" s="8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spans="1:39" s="5" customFormat="1">
      <c r="A180" s="8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spans="1:39" s="5" customFormat="1">
      <c r="A181" s="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spans="1:39" s="5" customFormat="1">
      <c r="A182" s="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spans="1:39" s="5" customFormat="1">
      <c r="A183" s="8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spans="1:39" s="5" customFormat="1">
      <c r="A184" s="8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spans="1:39" s="5" customFormat="1">
      <c r="A185" s="8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spans="1:39" s="5" customFormat="1">
      <c r="A186" s="8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spans="1:39" s="5" customFormat="1">
      <c r="A187" s="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spans="1:39" s="5" customFormat="1">
      <c r="A188" s="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spans="1:39" s="5" customFormat="1">
      <c r="A189" s="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spans="1:39" s="5" customFormat="1">
      <c r="A190" s="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spans="1:39" s="5" customFormat="1">
      <c r="A191" s="8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spans="1:39" s="5" customFormat="1">
      <c r="A192" s="8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spans="1:39" s="5" customFormat="1">
      <c r="A193" s="8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spans="1:39" s="5" customFormat="1">
      <c r="A194" s="8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spans="1:39" s="5" customFormat="1">
      <c r="A195" s="8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spans="1:39" s="5" customFormat="1">
      <c r="A196" s="8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spans="1:39" s="5" customFormat="1">
      <c r="A197" s="8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spans="1:39" s="5" customFormat="1">
      <c r="A198" s="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spans="1:39" s="5" customFormat="1">
      <c r="A199" s="8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spans="1:39" s="5" customFormat="1">
      <c r="A200" s="8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spans="1:39" s="5" customFormat="1">
      <c r="A201" s="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spans="1:39" s="5" customFormat="1">
      <c r="A202" s="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spans="1:39" s="5" customFormat="1">
      <c r="A203" s="8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spans="1:39" s="5" customFormat="1">
      <c r="A204" s="8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spans="1:39" s="5" customFormat="1">
      <c r="A205" s="8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spans="1:39" s="5" customFormat="1">
      <c r="A206" s="8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spans="1:39" s="5" customFormat="1">
      <c r="A207" s="8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spans="1:39" s="5" customFormat="1">
      <c r="A208" s="8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spans="1:39" s="5" customFormat="1">
      <c r="A209" s="8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spans="1:39" s="5" customFormat="1">
      <c r="A210" s="8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spans="1:39" s="5" customFormat="1">
      <c r="A211" s="8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spans="1:39" s="5" customFormat="1">
      <c r="A212" s="8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spans="1:39" s="5" customFormat="1">
      <c r="A213" s="8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spans="1:39" s="5" customFormat="1">
      <c r="A214" s="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spans="1:39" s="5" customFormat="1">
      <c r="A215" s="8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spans="1:39" s="5" customFormat="1">
      <c r="A216" s="8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spans="1:39" s="5" customFormat="1">
      <c r="A217" s="8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spans="1:39" s="5" customFormat="1">
      <c r="A218" s="8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spans="1:39" s="5" customFormat="1">
      <c r="A219" s="8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spans="1:39" s="5" customFormat="1">
      <c r="A220" s="8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spans="1:39" s="5" customFormat="1">
      <c r="A221" s="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spans="1:39" s="5" customFormat="1">
      <c r="A222" s="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spans="1:39" s="5" customFormat="1">
      <c r="A223" s="8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spans="1:39" s="5" customFormat="1">
      <c r="A224" s="8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spans="1:47" s="5" customFormat="1">
      <c r="A225" s="8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spans="1:47" s="5" customFormat="1">
      <c r="A226" s="8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spans="1:47" s="5" customFormat="1">
      <c r="A227" s="8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spans="1:47" s="5" customFormat="1">
      <c r="A228" s="8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spans="1:47" s="5" customFormat="1">
      <c r="A229" s="8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spans="1:47" s="5" customFormat="1">
      <c r="A230" s="8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spans="1:47" s="5" customFormat="1">
      <c r="A231" s="8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spans="1:47" s="5" customFormat="1">
      <c r="A232" s="8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spans="1:47" s="5" customFormat="1">
      <c r="A233" s="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spans="1:47" s="5" customFormat="1">
      <c r="A234" s="8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spans="1:47" s="5" customFormat="1">
      <c r="A235" s="8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spans="1:47" s="5" customFormat="1">
      <c r="A236" s="8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spans="1:47" s="5" customFormat="1">
      <c r="A237" s="8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spans="1:47" s="5" customFormat="1">
      <c r="A238" s="8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spans="1:47" s="5" customFormat="1">
      <c r="A239" s="8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spans="1:47" s="5" customFormat="1">
      <c r="A240" s="9"/>
      <c r="B240" s="2"/>
      <c r="C240" s="2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2"/>
      <c r="AO240" s="2"/>
      <c r="AP240" s="2"/>
      <c r="AQ240" s="2"/>
      <c r="AR240" s="2"/>
      <c r="AS240" s="2"/>
      <c r="AT240" s="2"/>
      <c r="AU240" s="2"/>
    </row>
    <row r="241" spans="1:47" s="5" customFormat="1">
      <c r="A241" s="9"/>
      <c r="B241" s="2"/>
      <c r="C241" s="2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2"/>
      <c r="AO241" s="2"/>
      <c r="AP241" s="2"/>
      <c r="AQ241" s="2"/>
      <c r="AR241" s="2"/>
      <c r="AS241" s="2"/>
      <c r="AT241" s="2"/>
      <c r="AU241" s="2"/>
    </row>
    <row r="242" spans="1:47" s="5" customFormat="1">
      <c r="A242" s="9"/>
      <c r="B242" s="2"/>
      <c r="C242" s="2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2"/>
      <c r="AO242" s="2"/>
      <c r="AP242" s="2"/>
      <c r="AQ242" s="2"/>
      <c r="AR242" s="2"/>
      <c r="AS242" s="2"/>
      <c r="AT242" s="2"/>
      <c r="AU242" s="2"/>
    </row>
  </sheetData>
  <mergeCells count="33">
    <mergeCell ref="W13:AI13"/>
    <mergeCell ref="AV4:AV5"/>
    <mergeCell ref="A3:AN3"/>
    <mergeCell ref="C4:C5"/>
    <mergeCell ref="A4:A5"/>
    <mergeCell ref="B4:B5"/>
    <mergeCell ref="AL4:AL5"/>
    <mergeCell ref="AS4:AS5"/>
    <mergeCell ref="AO4:AO5"/>
    <mergeCell ref="AR4:AR5"/>
    <mergeCell ref="AU4:AU5"/>
    <mergeCell ref="AT4:AT5"/>
    <mergeCell ref="C21:E21"/>
    <mergeCell ref="AA21:AE21"/>
    <mergeCell ref="C19:H19"/>
    <mergeCell ref="L19:R19"/>
    <mergeCell ref="Y19:AG19"/>
    <mergeCell ref="D10:AD10"/>
    <mergeCell ref="AR12:AT12"/>
    <mergeCell ref="AI4:AI5"/>
    <mergeCell ref="AN21:AR21"/>
    <mergeCell ref="J13:S13"/>
    <mergeCell ref="AN19:AP19"/>
    <mergeCell ref="AN13:AP13"/>
    <mergeCell ref="AQ4:AQ5"/>
    <mergeCell ref="D12:K12"/>
    <mergeCell ref="AK4:AK5"/>
    <mergeCell ref="AM4:AM5"/>
    <mergeCell ref="AN4:AN5"/>
    <mergeCell ref="AP4:AP5"/>
    <mergeCell ref="U12:AI12"/>
    <mergeCell ref="AJ4:AJ5"/>
    <mergeCell ref="C13:H13"/>
  </mergeCells>
  <pageMargins left="0.7" right="0.7" top="0.75" bottom="0.75" header="0.3" footer="0.3"/>
  <pageSetup paperSize="9" scale="30" orientation="portrait" r:id="rId1"/>
  <rowBreaks count="1" manualBreakCount="1">
    <brk id="26" max="4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7"/>
  <sheetViews>
    <sheetView zoomScaleNormal="100" zoomScaleSheetLayoutView="110" workbookViewId="0">
      <selection activeCell="A16" sqref="A16:J16"/>
    </sheetView>
  </sheetViews>
  <sheetFormatPr defaultColWidth="8.85546875" defaultRowHeight="15"/>
  <cols>
    <col min="1" max="1" width="6.85546875" style="209" customWidth="1"/>
    <col min="2" max="2" width="25.5703125" style="209" customWidth="1"/>
    <col min="3" max="3" width="9.5703125" style="209" customWidth="1"/>
    <col min="4" max="4" width="13.28515625" style="209" customWidth="1"/>
    <col min="5" max="5" width="14.7109375" style="209" customWidth="1"/>
    <col min="6" max="6" width="9" style="209" customWidth="1"/>
    <col min="7" max="7" width="7.42578125" style="211" customWidth="1"/>
    <col min="8" max="9" width="7.7109375" style="211" customWidth="1"/>
    <col min="10" max="10" width="11.7109375" style="18" customWidth="1"/>
    <col min="11" max="11" width="17.7109375" style="209" customWidth="1"/>
    <col min="12" max="257" width="8.85546875" style="209"/>
    <col min="258" max="258" width="6.85546875" style="209" customWidth="1"/>
    <col min="259" max="259" width="28.42578125" style="209" customWidth="1"/>
    <col min="260" max="260" width="10.28515625" style="209" customWidth="1"/>
    <col min="261" max="261" width="21.85546875" style="209" customWidth="1"/>
    <col min="262" max="262" width="19" style="209" customWidth="1"/>
    <col min="263" max="263" width="9.85546875" style="209" customWidth="1"/>
    <col min="264" max="264" width="9.7109375" style="209" customWidth="1"/>
    <col min="265" max="265" width="7.7109375" style="209" customWidth="1"/>
    <col min="266" max="266" width="19.42578125" style="209" customWidth="1"/>
    <col min="267" max="267" width="10.7109375" style="209" customWidth="1"/>
    <col min="268" max="513" width="8.85546875" style="209"/>
    <col min="514" max="514" width="6.85546875" style="209" customWidth="1"/>
    <col min="515" max="515" width="28.42578125" style="209" customWidth="1"/>
    <col min="516" max="516" width="10.28515625" style="209" customWidth="1"/>
    <col min="517" max="517" width="21.85546875" style="209" customWidth="1"/>
    <col min="518" max="518" width="19" style="209" customWidth="1"/>
    <col min="519" max="519" width="9.85546875" style="209" customWidth="1"/>
    <col min="520" max="520" width="9.7109375" style="209" customWidth="1"/>
    <col min="521" max="521" width="7.7109375" style="209" customWidth="1"/>
    <col min="522" max="522" width="19.42578125" style="209" customWidth="1"/>
    <col min="523" max="523" width="10.7109375" style="209" customWidth="1"/>
    <col min="524" max="769" width="8.85546875" style="209"/>
    <col min="770" max="770" width="6.85546875" style="209" customWidth="1"/>
    <col min="771" max="771" width="28.42578125" style="209" customWidth="1"/>
    <col min="772" max="772" width="10.28515625" style="209" customWidth="1"/>
    <col min="773" max="773" width="21.85546875" style="209" customWidth="1"/>
    <col min="774" max="774" width="19" style="209" customWidth="1"/>
    <col min="775" max="775" width="9.85546875" style="209" customWidth="1"/>
    <col min="776" max="776" width="9.7109375" style="209" customWidth="1"/>
    <col min="777" max="777" width="7.7109375" style="209" customWidth="1"/>
    <col min="778" max="778" width="19.42578125" style="209" customWidth="1"/>
    <col min="779" max="779" width="10.7109375" style="209" customWidth="1"/>
    <col min="780" max="1025" width="8.85546875" style="209"/>
    <col min="1026" max="1026" width="6.85546875" style="209" customWidth="1"/>
    <col min="1027" max="1027" width="28.42578125" style="209" customWidth="1"/>
    <col min="1028" max="1028" width="10.28515625" style="209" customWidth="1"/>
    <col min="1029" max="1029" width="21.85546875" style="209" customWidth="1"/>
    <col min="1030" max="1030" width="19" style="209" customWidth="1"/>
    <col min="1031" max="1031" width="9.85546875" style="209" customWidth="1"/>
    <col min="1032" max="1032" width="9.7109375" style="209" customWidth="1"/>
    <col min="1033" max="1033" width="7.7109375" style="209" customWidth="1"/>
    <col min="1034" max="1034" width="19.42578125" style="209" customWidth="1"/>
    <col min="1035" max="1035" width="10.7109375" style="209" customWidth="1"/>
    <col min="1036" max="1281" width="8.85546875" style="209"/>
    <col min="1282" max="1282" width="6.85546875" style="209" customWidth="1"/>
    <col min="1283" max="1283" width="28.42578125" style="209" customWidth="1"/>
    <col min="1284" max="1284" width="10.28515625" style="209" customWidth="1"/>
    <col min="1285" max="1285" width="21.85546875" style="209" customWidth="1"/>
    <col min="1286" max="1286" width="19" style="209" customWidth="1"/>
    <col min="1287" max="1287" width="9.85546875" style="209" customWidth="1"/>
    <col min="1288" max="1288" width="9.7109375" style="209" customWidth="1"/>
    <col min="1289" max="1289" width="7.7109375" style="209" customWidth="1"/>
    <col min="1290" max="1290" width="19.42578125" style="209" customWidth="1"/>
    <col min="1291" max="1291" width="10.7109375" style="209" customWidth="1"/>
    <col min="1292" max="1537" width="8.85546875" style="209"/>
    <col min="1538" max="1538" width="6.85546875" style="209" customWidth="1"/>
    <col min="1539" max="1539" width="28.42578125" style="209" customWidth="1"/>
    <col min="1540" max="1540" width="10.28515625" style="209" customWidth="1"/>
    <col min="1541" max="1541" width="21.85546875" style="209" customWidth="1"/>
    <col min="1542" max="1542" width="19" style="209" customWidth="1"/>
    <col min="1543" max="1543" width="9.85546875" style="209" customWidth="1"/>
    <col min="1544" max="1544" width="9.7109375" style="209" customWidth="1"/>
    <col min="1545" max="1545" width="7.7109375" style="209" customWidth="1"/>
    <col min="1546" max="1546" width="19.42578125" style="209" customWidth="1"/>
    <col min="1547" max="1547" width="10.7109375" style="209" customWidth="1"/>
    <col min="1548" max="1793" width="8.85546875" style="209"/>
    <col min="1794" max="1794" width="6.85546875" style="209" customWidth="1"/>
    <col min="1795" max="1795" width="28.42578125" style="209" customWidth="1"/>
    <col min="1796" max="1796" width="10.28515625" style="209" customWidth="1"/>
    <col min="1797" max="1797" width="21.85546875" style="209" customWidth="1"/>
    <col min="1798" max="1798" width="19" style="209" customWidth="1"/>
    <col min="1799" max="1799" width="9.85546875" style="209" customWidth="1"/>
    <col min="1800" max="1800" width="9.7109375" style="209" customWidth="1"/>
    <col min="1801" max="1801" width="7.7109375" style="209" customWidth="1"/>
    <col min="1802" max="1802" width="19.42578125" style="209" customWidth="1"/>
    <col min="1803" max="1803" width="10.7109375" style="209" customWidth="1"/>
    <col min="1804" max="2049" width="8.85546875" style="209"/>
    <col min="2050" max="2050" width="6.85546875" style="209" customWidth="1"/>
    <col min="2051" max="2051" width="28.42578125" style="209" customWidth="1"/>
    <col min="2052" max="2052" width="10.28515625" style="209" customWidth="1"/>
    <col min="2053" max="2053" width="21.85546875" style="209" customWidth="1"/>
    <col min="2054" max="2054" width="19" style="209" customWidth="1"/>
    <col min="2055" max="2055" width="9.85546875" style="209" customWidth="1"/>
    <col min="2056" max="2056" width="9.7109375" style="209" customWidth="1"/>
    <col min="2057" max="2057" width="7.7109375" style="209" customWidth="1"/>
    <col min="2058" max="2058" width="19.42578125" style="209" customWidth="1"/>
    <col min="2059" max="2059" width="10.7109375" style="209" customWidth="1"/>
    <col min="2060" max="2305" width="8.85546875" style="209"/>
    <col min="2306" max="2306" width="6.85546875" style="209" customWidth="1"/>
    <col min="2307" max="2307" width="28.42578125" style="209" customWidth="1"/>
    <col min="2308" max="2308" width="10.28515625" style="209" customWidth="1"/>
    <col min="2309" max="2309" width="21.85546875" style="209" customWidth="1"/>
    <col min="2310" max="2310" width="19" style="209" customWidth="1"/>
    <col min="2311" max="2311" width="9.85546875" style="209" customWidth="1"/>
    <col min="2312" max="2312" width="9.7109375" style="209" customWidth="1"/>
    <col min="2313" max="2313" width="7.7109375" style="209" customWidth="1"/>
    <col min="2314" max="2314" width="19.42578125" style="209" customWidth="1"/>
    <col min="2315" max="2315" width="10.7109375" style="209" customWidth="1"/>
    <col min="2316" max="2561" width="8.85546875" style="209"/>
    <col min="2562" max="2562" width="6.85546875" style="209" customWidth="1"/>
    <col min="2563" max="2563" width="28.42578125" style="209" customWidth="1"/>
    <col min="2564" max="2564" width="10.28515625" style="209" customWidth="1"/>
    <col min="2565" max="2565" width="21.85546875" style="209" customWidth="1"/>
    <col min="2566" max="2566" width="19" style="209" customWidth="1"/>
    <col min="2567" max="2567" width="9.85546875" style="209" customWidth="1"/>
    <col min="2568" max="2568" width="9.7109375" style="209" customWidth="1"/>
    <col min="2569" max="2569" width="7.7109375" style="209" customWidth="1"/>
    <col min="2570" max="2570" width="19.42578125" style="209" customWidth="1"/>
    <col min="2571" max="2571" width="10.7109375" style="209" customWidth="1"/>
    <col min="2572" max="2817" width="8.85546875" style="209"/>
    <col min="2818" max="2818" width="6.85546875" style="209" customWidth="1"/>
    <col min="2819" max="2819" width="28.42578125" style="209" customWidth="1"/>
    <col min="2820" max="2820" width="10.28515625" style="209" customWidth="1"/>
    <col min="2821" max="2821" width="21.85546875" style="209" customWidth="1"/>
    <col min="2822" max="2822" width="19" style="209" customWidth="1"/>
    <col min="2823" max="2823" width="9.85546875" style="209" customWidth="1"/>
    <col min="2824" max="2824" width="9.7109375" style="209" customWidth="1"/>
    <col min="2825" max="2825" width="7.7109375" style="209" customWidth="1"/>
    <col min="2826" max="2826" width="19.42578125" style="209" customWidth="1"/>
    <col min="2827" max="2827" width="10.7109375" style="209" customWidth="1"/>
    <col min="2828" max="3073" width="8.85546875" style="209"/>
    <col min="3074" max="3074" width="6.85546875" style="209" customWidth="1"/>
    <col min="3075" max="3075" width="28.42578125" style="209" customWidth="1"/>
    <col min="3076" max="3076" width="10.28515625" style="209" customWidth="1"/>
    <col min="3077" max="3077" width="21.85546875" style="209" customWidth="1"/>
    <col min="3078" max="3078" width="19" style="209" customWidth="1"/>
    <col min="3079" max="3079" width="9.85546875" style="209" customWidth="1"/>
    <col min="3080" max="3080" width="9.7109375" style="209" customWidth="1"/>
    <col min="3081" max="3081" width="7.7109375" style="209" customWidth="1"/>
    <col min="3082" max="3082" width="19.42578125" style="209" customWidth="1"/>
    <col min="3083" max="3083" width="10.7109375" style="209" customWidth="1"/>
    <col min="3084" max="3329" width="8.85546875" style="209"/>
    <col min="3330" max="3330" width="6.85546875" style="209" customWidth="1"/>
    <col min="3331" max="3331" width="28.42578125" style="209" customWidth="1"/>
    <col min="3332" max="3332" width="10.28515625" style="209" customWidth="1"/>
    <col min="3333" max="3333" width="21.85546875" style="209" customWidth="1"/>
    <col min="3334" max="3334" width="19" style="209" customWidth="1"/>
    <col min="3335" max="3335" width="9.85546875" style="209" customWidth="1"/>
    <col min="3336" max="3336" width="9.7109375" style="209" customWidth="1"/>
    <col min="3337" max="3337" width="7.7109375" style="209" customWidth="1"/>
    <col min="3338" max="3338" width="19.42578125" style="209" customWidth="1"/>
    <col min="3339" max="3339" width="10.7109375" style="209" customWidth="1"/>
    <col min="3340" max="3585" width="8.85546875" style="209"/>
    <col min="3586" max="3586" width="6.85546875" style="209" customWidth="1"/>
    <col min="3587" max="3587" width="28.42578125" style="209" customWidth="1"/>
    <col min="3588" max="3588" width="10.28515625" style="209" customWidth="1"/>
    <col min="3589" max="3589" width="21.85546875" style="209" customWidth="1"/>
    <col min="3590" max="3590" width="19" style="209" customWidth="1"/>
    <col min="3591" max="3591" width="9.85546875" style="209" customWidth="1"/>
    <col min="3592" max="3592" width="9.7109375" style="209" customWidth="1"/>
    <col min="3593" max="3593" width="7.7109375" style="209" customWidth="1"/>
    <col min="3594" max="3594" width="19.42578125" style="209" customWidth="1"/>
    <col min="3595" max="3595" width="10.7109375" style="209" customWidth="1"/>
    <col min="3596" max="3841" width="8.85546875" style="209"/>
    <col min="3842" max="3842" width="6.85546875" style="209" customWidth="1"/>
    <col min="3843" max="3843" width="28.42578125" style="209" customWidth="1"/>
    <col min="3844" max="3844" width="10.28515625" style="209" customWidth="1"/>
    <col min="3845" max="3845" width="21.85546875" style="209" customWidth="1"/>
    <col min="3846" max="3846" width="19" style="209" customWidth="1"/>
    <col min="3847" max="3847" width="9.85546875" style="209" customWidth="1"/>
    <col min="3848" max="3848" width="9.7109375" style="209" customWidth="1"/>
    <col min="3849" max="3849" width="7.7109375" style="209" customWidth="1"/>
    <col min="3850" max="3850" width="19.42578125" style="209" customWidth="1"/>
    <col min="3851" max="3851" width="10.7109375" style="209" customWidth="1"/>
    <col min="3852" max="4097" width="8.85546875" style="209"/>
    <col min="4098" max="4098" width="6.85546875" style="209" customWidth="1"/>
    <col min="4099" max="4099" width="28.42578125" style="209" customWidth="1"/>
    <col min="4100" max="4100" width="10.28515625" style="209" customWidth="1"/>
    <col min="4101" max="4101" width="21.85546875" style="209" customWidth="1"/>
    <col min="4102" max="4102" width="19" style="209" customWidth="1"/>
    <col min="4103" max="4103" width="9.85546875" style="209" customWidth="1"/>
    <col min="4104" max="4104" width="9.7109375" style="209" customWidth="1"/>
    <col min="4105" max="4105" width="7.7109375" style="209" customWidth="1"/>
    <col min="4106" max="4106" width="19.42578125" style="209" customWidth="1"/>
    <col min="4107" max="4107" width="10.7109375" style="209" customWidth="1"/>
    <col min="4108" max="4353" width="8.85546875" style="209"/>
    <col min="4354" max="4354" width="6.85546875" style="209" customWidth="1"/>
    <col min="4355" max="4355" width="28.42578125" style="209" customWidth="1"/>
    <col min="4356" max="4356" width="10.28515625" style="209" customWidth="1"/>
    <col min="4357" max="4357" width="21.85546875" style="209" customWidth="1"/>
    <col min="4358" max="4358" width="19" style="209" customWidth="1"/>
    <col min="4359" max="4359" width="9.85546875" style="209" customWidth="1"/>
    <col min="4360" max="4360" width="9.7109375" style="209" customWidth="1"/>
    <col min="4361" max="4361" width="7.7109375" style="209" customWidth="1"/>
    <col min="4362" max="4362" width="19.42578125" style="209" customWidth="1"/>
    <col min="4363" max="4363" width="10.7109375" style="209" customWidth="1"/>
    <col min="4364" max="4609" width="8.85546875" style="209"/>
    <col min="4610" max="4610" width="6.85546875" style="209" customWidth="1"/>
    <col min="4611" max="4611" width="28.42578125" style="209" customWidth="1"/>
    <col min="4612" max="4612" width="10.28515625" style="209" customWidth="1"/>
    <col min="4613" max="4613" width="21.85546875" style="209" customWidth="1"/>
    <col min="4614" max="4614" width="19" style="209" customWidth="1"/>
    <col min="4615" max="4615" width="9.85546875" style="209" customWidth="1"/>
    <col min="4616" max="4616" width="9.7109375" style="209" customWidth="1"/>
    <col min="4617" max="4617" width="7.7109375" style="209" customWidth="1"/>
    <col min="4618" max="4618" width="19.42578125" style="209" customWidth="1"/>
    <col min="4619" max="4619" width="10.7109375" style="209" customWidth="1"/>
    <col min="4620" max="4865" width="8.85546875" style="209"/>
    <col min="4866" max="4866" width="6.85546875" style="209" customWidth="1"/>
    <col min="4867" max="4867" width="28.42578125" style="209" customWidth="1"/>
    <col min="4868" max="4868" width="10.28515625" style="209" customWidth="1"/>
    <col min="4869" max="4869" width="21.85546875" style="209" customWidth="1"/>
    <col min="4870" max="4870" width="19" style="209" customWidth="1"/>
    <col min="4871" max="4871" width="9.85546875" style="209" customWidth="1"/>
    <col min="4872" max="4872" width="9.7109375" style="209" customWidth="1"/>
    <col min="4873" max="4873" width="7.7109375" style="209" customWidth="1"/>
    <col min="4874" max="4874" width="19.42578125" style="209" customWidth="1"/>
    <col min="4875" max="4875" width="10.7109375" style="209" customWidth="1"/>
    <col min="4876" max="5121" width="8.85546875" style="209"/>
    <col min="5122" max="5122" width="6.85546875" style="209" customWidth="1"/>
    <col min="5123" max="5123" width="28.42578125" style="209" customWidth="1"/>
    <col min="5124" max="5124" width="10.28515625" style="209" customWidth="1"/>
    <col min="5125" max="5125" width="21.85546875" style="209" customWidth="1"/>
    <col min="5126" max="5126" width="19" style="209" customWidth="1"/>
    <col min="5127" max="5127" width="9.85546875" style="209" customWidth="1"/>
    <col min="5128" max="5128" width="9.7109375" style="209" customWidth="1"/>
    <col min="5129" max="5129" width="7.7109375" style="209" customWidth="1"/>
    <col min="5130" max="5130" width="19.42578125" style="209" customWidth="1"/>
    <col min="5131" max="5131" width="10.7109375" style="209" customWidth="1"/>
    <col min="5132" max="5377" width="8.85546875" style="209"/>
    <col min="5378" max="5378" width="6.85546875" style="209" customWidth="1"/>
    <col min="5379" max="5379" width="28.42578125" style="209" customWidth="1"/>
    <col min="5380" max="5380" width="10.28515625" style="209" customWidth="1"/>
    <col min="5381" max="5381" width="21.85546875" style="209" customWidth="1"/>
    <col min="5382" max="5382" width="19" style="209" customWidth="1"/>
    <col min="5383" max="5383" width="9.85546875" style="209" customWidth="1"/>
    <col min="5384" max="5384" width="9.7109375" style="209" customWidth="1"/>
    <col min="5385" max="5385" width="7.7109375" style="209" customWidth="1"/>
    <col min="5386" max="5386" width="19.42578125" style="209" customWidth="1"/>
    <col min="5387" max="5387" width="10.7109375" style="209" customWidth="1"/>
    <col min="5388" max="5633" width="8.85546875" style="209"/>
    <col min="5634" max="5634" width="6.85546875" style="209" customWidth="1"/>
    <col min="5635" max="5635" width="28.42578125" style="209" customWidth="1"/>
    <col min="5636" max="5636" width="10.28515625" style="209" customWidth="1"/>
    <col min="5637" max="5637" width="21.85546875" style="209" customWidth="1"/>
    <col min="5638" max="5638" width="19" style="209" customWidth="1"/>
    <col min="5639" max="5639" width="9.85546875" style="209" customWidth="1"/>
    <col min="5640" max="5640" width="9.7109375" style="209" customWidth="1"/>
    <col min="5641" max="5641" width="7.7109375" style="209" customWidth="1"/>
    <col min="5642" max="5642" width="19.42578125" style="209" customWidth="1"/>
    <col min="5643" max="5643" width="10.7109375" style="209" customWidth="1"/>
    <col min="5644" max="5889" width="8.85546875" style="209"/>
    <col min="5890" max="5890" width="6.85546875" style="209" customWidth="1"/>
    <col min="5891" max="5891" width="28.42578125" style="209" customWidth="1"/>
    <col min="5892" max="5892" width="10.28515625" style="209" customWidth="1"/>
    <col min="5893" max="5893" width="21.85546875" style="209" customWidth="1"/>
    <col min="5894" max="5894" width="19" style="209" customWidth="1"/>
    <col min="5895" max="5895" width="9.85546875" style="209" customWidth="1"/>
    <col min="5896" max="5896" width="9.7109375" style="209" customWidth="1"/>
    <col min="5897" max="5897" width="7.7109375" style="209" customWidth="1"/>
    <col min="5898" max="5898" width="19.42578125" style="209" customWidth="1"/>
    <col min="5899" max="5899" width="10.7109375" style="209" customWidth="1"/>
    <col min="5900" max="6145" width="8.85546875" style="209"/>
    <col min="6146" max="6146" width="6.85546875" style="209" customWidth="1"/>
    <col min="6147" max="6147" width="28.42578125" style="209" customWidth="1"/>
    <col min="6148" max="6148" width="10.28515625" style="209" customWidth="1"/>
    <col min="6149" max="6149" width="21.85546875" style="209" customWidth="1"/>
    <col min="6150" max="6150" width="19" style="209" customWidth="1"/>
    <col min="6151" max="6151" width="9.85546875" style="209" customWidth="1"/>
    <col min="6152" max="6152" width="9.7109375" style="209" customWidth="1"/>
    <col min="6153" max="6153" width="7.7109375" style="209" customWidth="1"/>
    <col min="6154" max="6154" width="19.42578125" style="209" customWidth="1"/>
    <col min="6155" max="6155" width="10.7109375" style="209" customWidth="1"/>
    <col min="6156" max="6401" width="8.85546875" style="209"/>
    <col min="6402" max="6402" width="6.85546875" style="209" customWidth="1"/>
    <col min="6403" max="6403" width="28.42578125" style="209" customWidth="1"/>
    <col min="6404" max="6404" width="10.28515625" style="209" customWidth="1"/>
    <col min="6405" max="6405" width="21.85546875" style="209" customWidth="1"/>
    <col min="6406" max="6406" width="19" style="209" customWidth="1"/>
    <col min="6407" max="6407" width="9.85546875" style="209" customWidth="1"/>
    <col min="6408" max="6408" width="9.7109375" style="209" customWidth="1"/>
    <col min="6409" max="6409" width="7.7109375" style="209" customWidth="1"/>
    <col min="6410" max="6410" width="19.42578125" style="209" customWidth="1"/>
    <col min="6411" max="6411" width="10.7109375" style="209" customWidth="1"/>
    <col min="6412" max="6657" width="8.85546875" style="209"/>
    <col min="6658" max="6658" width="6.85546875" style="209" customWidth="1"/>
    <col min="6659" max="6659" width="28.42578125" style="209" customWidth="1"/>
    <col min="6660" max="6660" width="10.28515625" style="209" customWidth="1"/>
    <col min="6661" max="6661" width="21.85546875" style="209" customWidth="1"/>
    <col min="6662" max="6662" width="19" style="209" customWidth="1"/>
    <col min="6663" max="6663" width="9.85546875" style="209" customWidth="1"/>
    <col min="6664" max="6664" width="9.7109375" style="209" customWidth="1"/>
    <col min="6665" max="6665" width="7.7109375" style="209" customWidth="1"/>
    <col min="6666" max="6666" width="19.42578125" style="209" customWidth="1"/>
    <col min="6667" max="6667" width="10.7109375" style="209" customWidth="1"/>
    <col min="6668" max="6913" width="8.85546875" style="209"/>
    <col min="6914" max="6914" width="6.85546875" style="209" customWidth="1"/>
    <col min="6915" max="6915" width="28.42578125" style="209" customWidth="1"/>
    <col min="6916" max="6916" width="10.28515625" style="209" customWidth="1"/>
    <col min="6917" max="6917" width="21.85546875" style="209" customWidth="1"/>
    <col min="6918" max="6918" width="19" style="209" customWidth="1"/>
    <col min="6919" max="6919" width="9.85546875" style="209" customWidth="1"/>
    <col min="6920" max="6920" width="9.7109375" style="209" customWidth="1"/>
    <col min="6921" max="6921" width="7.7109375" style="209" customWidth="1"/>
    <col min="6922" max="6922" width="19.42578125" style="209" customWidth="1"/>
    <col min="6923" max="6923" width="10.7109375" style="209" customWidth="1"/>
    <col min="6924" max="7169" width="8.85546875" style="209"/>
    <col min="7170" max="7170" width="6.85546875" style="209" customWidth="1"/>
    <col min="7171" max="7171" width="28.42578125" style="209" customWidth="1"/>
    <col min="7172" max="7172" width="10.28515625" style="209" customWidth="1"/>
    <col min="7173" max="7173" width="21.85546875" style="209" customWidth="1"/>
    <col min="7174" max="7174" width="19" style="209" customWidth="1"/>
    <col min="7175" max="7175" width="9.85546875" style="209" customWidth="1"/>
    <col min="7176" max="7176" width="9.7109375" style="209" customWidth="1"/>
    <col min="7177" max="7177" width="7.7109375" style="209" customWidth="1"/>
    <col min="7178" max="7178" width="19.42578125" style="209" customWidth="1"/>
    <col min="7179" max="7179" width="10.7109375" style="209" customWidth="1"/>
    <col min="7180" max="7425" width="8.85546875" style="209"/>
    <col min="7426" max="7426" width="6.85546875" style="209" customWidth="1"/>
    <col min="7427" max="7427" width="28.42578125" style="209" customWidth="1"/>
    <col min="7428" max="7428" width="10.28515625" style="209" customWidth="1"/>
    <col min="7429" max="7429" width="21.85546875" style="209" customWidth="1"/>
    <col min="7430" max="7430" width="19" style="209" customWidth="1"/>
    <col min="7431" max="7431" width="9.85546875" style="209" customWidth="1"/>
    <col min="7432" max="7432" width="9.7109375" style="209" customWidth="1"/>
    <col min="7433" max="7433" width="7.7109375" style="209" customWidth="1"/>
    <col min="7434" max="7434" width="19.42578125" style="209" customWidth="1"/>
    <col min="7435" max="7435" width="10.7109375" style="209" customWidth="1"/>
    <col min="7436" max="7681" width="8.85546875" style="209"/>
    <col min="7682" max="7682" width="6.85546875" style="209" customWidth="1"/>
    <col min="7683" max="7683" width="28.42578125" style="209" customWidth="1"/>
    <col min="7684" max="7684" width="10.28515625" style="209" customWidth="1"/>
    <col min="7685" max="7685" width="21.85546875" style="209" customWidth="1"/>
    <col min="7686" max="7686" width="19" style="209" customWidth="1"/>
    <col min="7687" max="7687" width="9.85546875" style="209" customWidth="1"/>
    <col min="7688" max="7688" width="9.7109375" style="209" customWidth="1"/>
    <col min="7689" max="7689" width="7.7109375" style="209" customWidth="1"/>
    <col min="7690" max="7690" width="19.42578125" style="209" customWidth="1"/>
    <col min="7691" max="7691" width="10.7109375" style="209" customWidth="1"/>
    <col min="7692" max="7937" width="8.85546875" style="209"/>
    <col min="7938" max="7938" width="6.85546875" style="209" customWidth="1"/>
    <col min="7939" max="7939" width="28.42578125" style="209" customWidth="1"/>
    <col min="7940" max="7940" width="10.28515625" style="209" customWidth="1"/>
    <col min="7941" max="7941" width="21.85546875" style="209" customWidth="1"/>
    <col min="7942" max="7942" width="19" style="209" customWidth="1"/>
    <col min="7943" max="7943" width="9.85546875" style="209" customWidth="1"/>
    <col min="7944" max="7944" width="9.7109375" style="209" customWidth="1"/>
    <col min="7945" max="7945" width="7.7109375" style="209" customWidth="1"/>
    <col min="7946" max="7946" width="19.42578125" style="209" customWidth="1"/>
    <col min="7947" max="7947" width="10.7109375" style="209" customWidth="1"/>
    <col min="7948" max="8193" width="8.85546875" style="209"/>
    <col min="8194" max="8194" width="6.85546875" style="209" customWidth="1"/>
    <col min="8195" max="8195" width="28.42578125" style="209" customWidth="1"/>
    <col min="8196" max="8196" width="10.28515625" style="209" customWidth="1"/>
    <col min="8197" max="8197" width="21.85546875" style="209" customWidth="1"/>
    <col min="8198" max="8198" width="19" style="209" customWidth="1"/>
    <col min="8199" max="8199" width="9.85546875" style="209" customWidth="1"/>
    <col min="8200" max="8200" width="9.7109375" style="209" customWidth="1"/>
    <col min="8201" max="8201" width="7.7109375" style="209" customWidth="1"/>
    <col min="8202" max="8202" width="19.42578125" style="209" customWidth="1"/>
    <col min="8203" max="8203" width="10.7109375" style="209" customWidth="1"/>
    <col min="8204" max="8449" width="8.85546875" style="209"/>
    <col min="8450" max="8450" width="6.85546875" style="209" customWidth="1"/>
    <col min="8451" max="8451" width="28.42578125" style="209" customWidth="1"/>
    <col min="8452" max="8452" width="10.28515625" style="209" customWidth="1"/>
    <col min="8453" max="8453" width="21.85546875" style="209" customWidth="1"/>
    <col min="8454" max="8454" width="19" style="209" customWidth="1"/>
    <col min="8455" max="8455" width="9.85546875" style="209" customWidth="1"/>
    <col min="8456" max="8456" width="9.7109375" style="209" customWidth="1"/>
    <col min="8457" max="8457" width="7.7109375" style="209" customWidth="1"/>
    <col min="8458" max="8458" width="19.42578125" style="209" customWidth="1"/>
    <col min="8459" max="8459" width="10.7109375" style="209" customWidth="1"/>
    <col min="8460" max="8705" width="8.85546875" style="209"/>
    <col min="8706" max="8706" width="6.85546875" style="209" customWidth="1"/>
    <col min="8707" max="8707" width="28.42578125" style="209" customWidth="1"/>
    <col min="8708" max="8708" width="10.28515625" style="209" customWidth="1"/>
    <col min="8709" max="8709" width="21.85546875" style="209" customWidth="1"/>
    <col min="8710" max="8710" width="19" style="209" customWidth="1"/>
    <col min="8711" max="8711" width="9.85546875" style="209" customWidth="1"/>
    <col min="8712" max="8712" width="9.7109375" style="209" customWidth="1"/>
    <col min="8713" max="8713" width="7.7109375" style="209" customWidth="1"/>
    <col min="8714" max="8714" width="19.42578125" style="209" customWidth="1"/>
    <col min="8715" max="8715" width="10.7109375" style="209" customWidth="1"/>
    <col min="8716" max="8961" width="8.85546875" style="209"/>
    <col min="8962" max="8962" width="6.85546875" style="209" customWidth="1"/>
    <col min="8963" max="8963" width="28.42578125" style="209" customWidth="1"/>
    <col min="8964" max="8964" width="10.28515625" style="209" customWidth="1"/>
    <col min="8965" max="8965" width="21.85546875" style="209" customWidth="1"/>
    <col min="8966" max="8966" width="19" style="209" customWidth="1"/>
    <col min="8967" max="8967" width="9.85546875" style="209" customWidth="1"/>
    <col min="8968" max="8968" width="9.7109375" style="209" customWidth="1"/>
    <col min="8969" max="8969" width="7.7109375" style="209" customWidth="1"/>
    <col min="8970" max="8970" width="19.42578125" style="209" customWidth="1"/>
    <col min="8971" max="8971" width="10.7109375" style="209" customWidth="1"/>
    <col min="8972" max="9217" width="8.85546875" style="209"/>
    <col min="9218" max="9218" width="6.85546875" style="209" customWidth="1"/>
    <col min="9219" max="9219" width="28.42578125" style="209" customWidth="1"/>
    <col min="9220" max="9220" width="10.28515625" style="209" customWidth="1"/>
    <col min="9221" max="9221" width="21.85546875" style="209" customWidth="1"/>
    <col min="9222" max="9222" width="19" style="209" customWidth="1"/>
    <col min="9223" max="9223" width="9.85546875" style="209" customWidth="1"/>
    <col min="9224" max="9224" width="9.7109375" style="209" customWidth="1"/>
    <col min="9225" max="9225" width="7.7109375" style="209" customWidth="1"/>
    <col min="9226" max="9226" width="19.42578125" style="209" customWidth="1"/>
    <col min="9227" max="9227" width="10.7109375" style="209" customWidth="1"/>
    <col min="9228" max="9473" width="8.85546875" style="209"/>
    <col min="9474" max="9474" width="6.85546875" style="209" customWidth="1"/>
    <col min="9475" max="9475" width="28.42578125" style="209" customWidth="1"/>
    <col min="9476" max="9476" width="10.28515625" style="209" customWidth="1"/>
    <col min="9477" max="9477" width="21.85546875" style="209" customWidth="1"/>
    <col min="9478" max="9478" width="19" style="209" customWidth="1"/>
    <col min="9479" max="9479" width="9.85546875" style="209" customWidth="1"/>
    <col min="9480" max="9480" width="9.7109375" style="209" customWidth="1"/>
    <col min="9481" max="9481" width="7.7109375" style="209" customWidth="1"/>
    <col min="9482" max="9482" width="19.42578125" style="209" customWidth="1"/>
    <col min="9483" max="9483" width="10.7109375" style="209" customWidth="1"/>
    <col min="9484" max="9729" width="8.85546875" style="209"/>
    <col min="9730" max="9730" width="6.85546875" style="209" customWidth="1"/>
    <col min="9731" max="9731" width="28.42578125" style="209" customWidth="1"/>
    <col min="9732" max="9732" width="10.28515625" style="209" customWidth="1"/>
    <col min="9733" max="9733" width="21.85546875" style="209" customWidth="1"/>
    <col min="9734" max="9734" width="19" style="209" customWidth="1"/>
    <col min="9735" max="9735" width="9.85546875" style="209" customWidth="1"/>
    <col min="9736" max="9736" width="9.7109375" style="209" customWidth="1"/>
    <col min="9737" max="9737" width="7.7109375" style="209" customWidth="1"/>
    <col min="9738" max="9738" width="19.42578125" style="209" customWidth="1"/>
    <col min="9739" max="9739" width="10.7109375" style="209" customWidth="1"/>
    <col min="9740" max="9985" width="8.85546875" style="209"/>
    <col min="9986" max="9986" width="6.85546875" style="209" customWidth="1"/>
    <col min="9987" max="9987" width="28.42578125" style="209" customWidth="1"/>
    <col min="9988" max="9988" width="10.28515625" style="209" customWidth="1"/>
    <col min="9989" max="9989" width="21.85546875" style="209" customWidth="1"/>
    <col min="9990" max="9990" width="19" style="209" customWidth="1"/>
    <col min="9991" max="9991" width="9.85546875" style="209" customWidth="1"/>
    <col min="9992" max="9992" width="9.7109375" style="209" customWidth="1"/>
    <col min="9993" max="9993" width="7.7109375" style="209" customWidth="1"/>
    <col min="9994" max="9994" width="19.42578125" style="209" customWidth="1"/>
    <col min="9995" max="9995" width="10.7109375" style="209" customWidth="1"/>
    <col min="9996" max="10241" width="8.85546875" style="209"/>
    <col min="10242" max="10242" width="6.85546875" style="209" customWidth="1"/>
    <col min="10243" max="10243" width="28.42578125" style="209" customWidth="1"/>
    <col min="10244" max="10244" width="10.28515625" style="209" customWidth="1"/>
    <col min="10245" max="10245" width="21.85546875" style="209" customWidth="1"/>
    <col min="10246" max="10246" width="19" style="209" customWidth="1"/>
    <col min="10247" max="10247" width="9.85546875" style="209" customWidth="1"/>
    <col min="10248" max="10248" width="9.7109375" style="209" customWidth="1"/>
    <col min="10249" max="10249" width="7.7109375" style="209" customWidth="1"/>
    <col min="10250" max="10250" width="19.42578125" style="209" customWidth="1"/>
    <col min="10251" max="10251" width="10.7109375" style="209" customWidth="1"/>
    <col min="10252" max="10497" width="8.85546875" style="209"/>
    <col min="10498" max="10498" width="6.85546875" style="209" customWidth="1"/>
    <col min="10499" max="10499" width="28.42578125" style="209" customWidth="1"/>
    <col min="10500" max="10500" width="10.28515625" style="209" customWidth="1"/>
    <col min="10501" max="10501" width="21.85546875" style="209" customWidth="1"/>
    <col min="10502" max="10502" width="19" style="209" customWidth="1"/>
    <col min="10503" max="10503" width="9.85546875" style="209" customWidth="1"/>
    <col min="10504" max="10504" width="9.7109375" style="209" customWidth="1"/>
    <col min="10505" max="10505" width="7.7109375" style="209" customWidth="1"/>
    <col min="10506" max="10506" width="19.42578125" style="209" customWidth="1"/>
    <col min="10507" max="10507" width="10.7109375" style="209" customWidth="1"/>
    <col min="10508" max="10753" width="8.85546875" style="209"/>
    <col min="10754" max="10754" width="6.85546875" style="209" customWidth="1"/>
    <col min="10755" max="10755" width="28.42578125" style="209" customWidth="1"/>
    <col min="10756" max="10756" width="10.28515625" style="209" customWidth="1"/>
    <col min="10757" max="10757" width="21.85546875" style="209" customWidth="1"/>
    <col min="10758" max="10758" width="19" style="209" customWidth="1"/>
    <col min="10759" max="10759" width="9.85546875" style="209" customWidth="1"/>
    <col min="10760" max="10760" width="9.7109375" style="209" customWidth="1"/>
    <col min="10761" max="10761" width="7.7109375" style="209" customWidth="1"/>
    <col min="10762" max="10762" width="19.42578125" style="209" customWidth="1"/>
    <col min="10763" max="10763" width="10.7109375" style="209" customWidth="1"/>
    <col min="10764" max="11009" width="8.85546875" style="209"/>
    <col min="11010" max="11010" width="6.85546875" style="209" customWidth="1"/>
    <col min="11011" max="11011" width="28.42578125" style="209" customWidth="1"/>
    <col min="11012" max="11012" width="10.28515625" style="209" customWidth="1"/>
    <col min="11013" max="11013" width="21.85546875" style="209" customWidth="1"/>
    <col min="11014" max="11014" width="19" style="209" customWidth="1"/>
    <col min="11015" max="11015" width="9.85546875" style="209" customWidth="1"/>
    <col min="11016" max="11016" width="9.7109375" style="209" customWidth="1"/>
    <col min="11017" max="11017" width="7.7109375" style="209" customWidth="1"/>
    <col min="11018" max="11018" width="19.42578125" style="209" customWidth="1"/>
    <col min="11019" max="11019" width="10.7109375" style="209" customWidth="1"/>
    <col min="11020" max="11265" width="8.85546875" style="209"/>
    <col min="11266" max="11266" width="6.85546875" style="209" customWidth="1"/>
    <col min="11267" max="11267" width="28.42578125" style="209" customWidth="1"/>
    <col min="11268" max="11268" width="10.28515625" style="209" customWidth="1"/>
    <col min="11269" max="11269" width="21.85546875" style="209" customWidth="1"/>
    <col min="11270" max="11270" width="19" style="209" customWidth="1"/>
    <col min="11271" max="11271" width="9.85546875" style="209" customWidth="1"/>
    <col min="11272" max="11272" width="9.7109375" style="209" customWidth="1"/>
    <col min="11273" max="11273" width="7.7109375" style="209" customWidth="1"/>
    <col min="11274" max="11274" width="19.42578125" style="209" customWidth="1"/>
    <col min="11275" max="11275" width="10.7109375" style="209" customWidth="1"/>
    <col min="11276" max="11521" width="8.85546875" style="209"/>
    <col min="11522" max="11522" width="6.85546875" style="209" customWidth="1"/>
    <col min="11523" max="11523" width="28.42578125" style="209" customWidth="1"/>
    <col min="11524" max="11524" width="10.28515625" style="209" customWidth="1"/>
    <col min="11525" max="11525" width="21.85546875" style="209" customWidth="1"/>
    <col min="11526" max="11526" width="19" style="209" customWidth="1"/>
    <col min="11527" max="11527" width="9.85546875" style="209" customWidth="1"/>
    <col min="11528" max="11528" width="9.7109375" style="209" customWidth="1"/>
    <col min="11529" max="11529" width="7.7109375" style="209" customWidth="1"/>
    <col min="11530" max="11530" width="19.42578125" style="209" customWidth="1"/>
    <col min="11531" max="11531" width="10.7109375" style="209" customWidth="1"/>
    <col min="11532" max="11777" width="8.85546875" style="209"/>
    <col min="11778" max="11778" width="6.85546875" style="209" customWidth="1"/>
    <col min="11779" max="11779" width="28.42578125" style="209" customWidth="1"/>
    <col min="11780" max="11780" width="10.28515625" style="209" customWidth="1"/>
    <col min="11781" max="11781" width="21.85546875" style="209" customWidth="1"/>
    <col min="11782" max="11782" width="19" style="209" customWidth="1"/>
    <col min="11783" max="11783" width="9.85546875" style="209" customWidth="1"/>
    <col min="11784" max="11784" width="9.7109375" style="209" customWidth="1"/>
    <col min="11785" max="11785" width="7.7109375" style="209" customWidth="1"/>
    <col min="11786" max="11786" width="19.42578125" style="209" customWidth="1"/>
    <col min="11787" max="11787" width="10.7109375" style="209" customWidth="1"/>
    <col min="11788" max="12033" width="8.85546875" style="209"/>
    <col min="12034" max="12034" width="6.85546875" style="209" customWidth="1"/>
    <col min="12035" max="12035" width="28.42578125" style="209" customWidth="1"/>
    <col min="12036" max="12036" width="10.28515625" style="209" customWidth="1"/>
    <col min="12037" max="12037" width="21.85546875" style="209" customWidth="1"/>
    <col min="12038" max="12038" width="19" style="209" customWidth="1"/>
    <col min="12039" max="12039" width="9.85546875" style="209" customWidth="1"/>
    <col min="12040" max="12040" width="9.7109375" style="209" customWidth="1"/>
    <col min="12041" max="12041" width="7.7109375" style="209" customWidth="1"/>
    <col min="12042" max="12042" width="19.42578125" style="209" customWidth="1"/>
    <col min="12043" max="12043" width="10.7109375" style="209" customWidth="1"/>
    <col min="12044" max="12289" width="8.85546875" style="209"/>
    <col min="12290" max="12290" width="6.85546875" style="209" customWidth="1"/>
    <col min="12291" max="12291" width="28.42578125" style="209" customWidth="1"/>
    <col min="12292" max="12292" width="10.28515625" style="209" customWidth="1"/>
    <col min="12293" max="12293" width="21.85546875" style="209" customWidth="1"/>
    <col min="12294" max="12294" width="19" style="209" customWidth="1"/>
    <col min="12295" max="12295" width="9.85546875" style="209" customWidth="1"/>
    <col min="12296" max="12296" width="9.7109375" style="209" customWidth="1"/>
    <col min="12297" max="12297" width="7.7109375" style="209" customWidth="1"/>
    <col min="12298" max="12298" width="19.42578125" style="209" customWidth="1"/>
    <col min="12299" max="12299" width="10.7109375" style="209" customWidth="1"/>
    <col min="12300" max="12545" width="8.85546875" style="209"/>
    <col min="12546" max="12546" width="6.85546875" style="209" customWidth="1"/>
    <col min="12547" max="12547" width="28.42578125" style="209" customWidth="1"/>
    <col min="12548" max="12548" width="10.28515625" style="209" customWidth="1"/>
    <col min="12549" max="12549" width="21.85546875" style="209" customWidth="1"/>
    <col min="12550" max="12550" width="19" style="209" customWidth="1"/>
    <col min="12551" max="12551" width="9.85546875" style="209" customWidth="1"/>
    <col min="12552" max="12552" width="9.7109375" style="209" customWidth="1"/>
    <col min="12553" max="12553" width="7.7109375" style="209" customWidth="1"/>
    <col min="12554" max="12554" width="19.42578125" style="209" customWidth="1"/>
    <col min="12555" max="12555" width="10.7109375" style="209" customWidth="1"/>
    <col min="12556" max="12801" width="8.85546875" style="209"/>
    <col min="12802" max="12802" width="6.85546875" style="209" customWidth="1"/>
    <col min="12803" max="12803" width="28.42578125" style="209" customWidth="1"/>
    <col min="12804" max="12804" width="10.28515625" style="209" customWidth="1"/>
    <col min="12805" max="12805" width="21.85546875" style="209" customWidth="1"/>
    <col min="12806" max="12806" width="19" style="209" customWidth="1"/>
    <col min="12807" max="12807" width="9.85546875" style="209" customWidth="1"/>
    <col min="12808" max="12808" width="9.7109375" style="209" customWidth="1"/>
    <col min="12809" max="12809" width="7.7109375" style="209" customWidth="1"/>
    <col min="12810" max="12810" width="19.42578125" style="209" customWidth="1"/>
    <col min="12811" max="12811" width="10.7109375" style="209" customWidth="1"/>
    <col min="12812" max="13057" width="8.85546875" style="209"/>
    <col min="13058" max="13058" width="6.85546875" style="209" customWidth="1"/>
    <col min="13059" max="13059" width="28.42578125" style="209" customWidth="1"/>
    <col min="13060" max="13060" width="10.28515625" style="209" customWidth="1"/>
    <col min="13061" max="13061" width="21.85546875" style="209" customWidth="1"/>
    <col min="13062" max="13062" width="19" style="209" customWidth="1"/>
    <col min="13063" max="13063" width="9.85546875" style="209" customWidth="1"/>
    <col min="13064" max="13064" width="9.7109375" style="209" customWidth="1"/>
    <col min="13065" max="13065" width="7.7109375" style="209" customWidth="1"/>
    <col min="13066" max="13066" width="19.42578125" style="209" customWidth="1"/>
    <col min="13067" max="13067" width="10.7109375" style="209" customWidth="1"/>
    <col min="13068" max="13313" width="8.85546875" style="209"/>
    <col min="13314" max="13314" width="6.85546875" style="209" customWidth="1"/>
    <col min="13315" max="13315" width="28.42578125" style="209" customWidth="1"/>
    <col min="13316" max="13316" width="10.28515625" style="209" customWidth="1"/>
    <col min="13317" max="13317" width="21.85546875" style="209" customWidth="1"/>
    <col min="13318" max="13318" width="19" style="209" customWidth="1"/>
    <col min="13319" max="13319" width="9.85546875" style="209" customWidth="1"/>
    <col min="13320" max="13320" width="9.7109375" style="209" customWidth="1"/>
    <col min="13321" max="13321" width="7.7109375" style="209" customWidth="1"/>
    <col min="13322" max="13322" width="19.42578125" style="209" customWidth="1"/>
    <col min="13323" max="13323" width="10.7109375" style="209" customWidth="1"/>
    <col min="13324" max="13569" width="8.85546875" style="209"/>
    <col min="13570" max="13570" width="6.85546875" style="209" customWidth="1"/>
    <col min="13571" max="13571" width="28.42578125" style="209" customWidth="1"/>
    <col min="13572" max="13572" width="10.28515625" style="209" customWidth="1"/>
    <col min="13573" max="13573" width="21.85546875" style="209" customWidth="1"/>
    <col min="13574" max="13574" width="19" style="209" customWidth="1"/>
    <col min="13575" max="13575" width="9.85546875" style="209" customWidth="1"/>
    <col min="13576" max="13576" width="9.7109375" style="209" customWidth="1"/>
    <col min="13577" max="13577" width="7.7109375" style="209" customWidth="1"/>
    <col min="13578" max="13578" width="19.42578125" style="209" customWidth="1"/>
    <col min="13579" max="13579" width="10.7109375" style="209" customWidth="1"/>
    <col min="13580" max="13825" width="8.85546875" style="209"/>
    <col min="13826" max="13826" width="6.85546875" style="209" customWidth="1"/>
    <col min="13827" max="13827" width="28.42578125" style="209" customWidth="1"/>
    <col min="13828" max="13828" width="10.28515625" style="209" customWidth="1"/>
    <col min="13829" max="13829" width="21.85546875" style="209" customWidth="1"/>
    <col min="13830" max="13830" width="19" style="209" customWidth="1"/>
    <col min="13831" max="13831" width="9.85546875" style="209" customWidth="1"/>
    <col min="13832" max="13832" width="9.7109375" style="209" customWidth="1"/>
    <col min="13833" max="13833" width="7.7109375" style="209" customWidth="1"/>
    <col min="13834" max="13834" width="19.42578125" style="209" customWidth="1"/>
    <col min="13835" max="13835" width="10.7109375" style="209" customWidth="1"/>
    <col min="13836" max="14081" width="8.85546875" style="209"/>
    <col min="14082" max="14082" width="6.85546875" style="209" customWidth="1"/>
    <col min="14083" max="14083" width="28.42578125" style="209" customWidth="1"/>
    <col min="14084" max="14084" width="10.28515625" style="209" customWidth="1"/>
    <col min="14085" max="14085" width="21.85546875" style="209" customWidth="1"/>
    <col min="14086" max="14086" width="19" style="209" customWidth="1"/>
    <col min="14087" max="14087" width="9.85546875" style="209" customWidth="1"/>
    <col min="14088" max="14088" width="9.7109375" style="209" customWidth="1"/>
    <col min="14089" max="14089" width="7.7109375" style="209" customWidth="1"/>
    <col min="14090" max="14090" width="19.42578125" style="209" customWidth="1"/>
    <col min="14091" max="14091" width="10.7109375" style="209" customWidth="1"/>
    <col min="14092" max="14337" width="8.85546875" style="209"/>
    <col min="14338" max="14338" width="6.85546875" style="209" customWidth="1"/>
    <col min="14339" max="14339" width="28.42578125" style="209" customWidth="1"/>
    <col min="14340" max="14340" width="10.28515625" style="209" customWidth="1"/>
    <col min="14341" max="14341" width="21.85546875" style="209" customWidth="1"/>
    <col min="14342" max="14342" width="19" style="209" customWidth="1"/>
    <col min="14343" max="14343" width="9.85546875" style="209" customWidth="1"/>
    <col min="14344" max="14344" width="9.7109375" style="209" customWidth="1"/>
    <col min="14345" max="14345" width="7.7109375" style="209" customWidth="1"/>
    <col min="14346" max="14346" width="19.42578125" style="209" customWidth="1"/>
    <col min="14347" max="14347" width="10.7109375" style="209" customWidth="1"/>
    <col min="14348" max="14593" width="8.85546875" style="209"/>
    <col min="14594" max="14594" width="6.85546875" style="209" customWidth="1"/>
    <col min="14595" max="14595" width="28.42578125" style="209" customWidth="1"/>
    <col min="14596" max="14596" width="10.28515625" style="209" customWidth="1"/>
    <col min="14597" max="14597" width="21.85546875" style="209" customWidth="1"/>
    <col min="14598" max="14598" width="19" style="209" customWidth="1"/>
    <col min="14599" max="14599" width="9.85546875" style="209" customWidth="1"/>
    <col min="14600" max="14600" width="9.7109375" style="209" customWidth="1"/>
    <col min="14601" max="14601" width="7.7109375" style="209" customWidth="1"/>
    <col min="14602" max="14602" width="19.42578125" style="209" customWidth="1"/>
    <col min="14603" max="14603" width="10.7109375" style="209" customWidth="1"/>
    <col min="14604" max="14849" width="8.85546875" style="209"/>
    <col min="14850" max="14850" width="6.85546875" style="209" customWidth="1"/>
    <col min="14851" max="14851" width="28.42578125" style="209" customWidth="1"/>
    <col min="14852" max="14852" width="10.28515625" style="209" customWidth="1"/>
    <col min="14853" max="14853" width="21.85546875" style="209" customWidth="1"/>
    <col min="14854" max="14854" width="19" style="209" customWidth="1"/>
    <col min="14855" max="14855" width="9.85546875" style="209" customWidth="1"/>
    <col min="14856" max="14856" width="9.7109375" style="209" customWidth="1"/>
    <col min="14857" max="14857" width="7.7109375" style="209" customWidth="1"/>
    <col min="14858" max="14858" width="19.42578125" style="209" customWidth="1"/>
    <col min="14859" max="14859" width="10.7109375" style="209" customWidth="1"/>
    <col min="14860" max="15105" width="8.85546875" style="209"/>
    <col min="15106" max="15106" width="6.85546875" style="209" customWidth="1"/>
    <col min="15107" max="15107" width="28.42578125" style="209" customWidth="1"/>
    <col min="15108" max="15108" width="10.28515625" style="209" customWidth="1"/>
    <col min="15109" max="15109" width="21.85546875" style="209" customWidth="1"/>
    <col min="15110" max="15110" width="19" style="209" customWidth="1"/>
    <col min="15111" max="15111" width="9.85546875" style="209" customWidth="1"/>
    <col min="15112" max="15112" width="9.7109375" style="209" customWidth="1"/>
    <col min="15113" max="15113" width="7.7109375" style="209" customWidth="1"/>
    <col min="15114" max="15114" width="19.42578125" style="209" customWidth="1"/>
    <col min="15115" max="15115" width="10.7109375" style="209" customWidth="1"/>
    <col min="15116" max="15361" width="8.85546875" style="209"/>
    <col min="15362" max="15362" width="6.85546875" style="209" customWidth="1"/>
    <col min="15363" max="15363" width="28.42578125" style="209" customWidth="1"/>
    <col min="15364" max="15364" width="10.28515625" style="209" customWidth="1"/>
    <col min="15365" max="15365" width="21.85546875" style="209" customWidth="1"/>
    <col min="15366" max="15366" width="19" style="209" customWidth="1"/>
    <col min="15367" max="15367" width="9.85546875" style="209" customWidth="1"/>
    <col min="15368" max="15368" width="9.7109375" style="209" customWidth="1"/>
    <col min="15369" max="15369" width="7.7109375" style="209" customWidth="1"/>
    <col min="15370" max="15370" width="19.42578125" style="209" customWidth="1"/>
    <col min="15371" max="15371" width="10.7109375" style="209" customWidth="1"/>
    <col min="15372" max="15617" width="8.85546875" style="209"/>
    <col min="15618" max="15618" width="6.85546875" style="209" customWidth="1"/>
    <col min="15619" max="15619" width="28.42578125" style="209" customWidth="1"/>
    <col min="15620" max="15620" width="10.28515625" style="209" customWidth="1"/>
    <col min="15621" max="15621" width="21.85546875" style="209" customWidth="1"/>
    <col min="15622" max="15622" width="19" style="209" customWidth="1"/>
    <col min="15623" max="15623" width="9.85546875" style="209" customWidth="1"/>
    <col min="15624" max="15624" width="9.7109375" style="209" customWidth="1"/>
    <col min="15625" max="15625" width="7.7109375" style="209" customWidth="1"/>
    <col min="15626" max="15626" width="19.42578125" style="209" customWidth="1"/>
    <col min="15627" max="15627" width="10.7109375" style="209" customWidth="1"/>
    <col min="15628" max="15873" width="8.85546875" style="209"/>
    <col min="15874" max="15874" width="6.85546875" style="209" customWidth="1"/>
    <col min="15875" max="15875" width="28.42578125" style="209" customWidth="1"/>
    <col min="15876" max="15876" width="10.28515625" style="209" customWidth="1"/>
    <col min="15877" max="15877" width="21.85546875" style="209" customWidth="1"/>
    <col min="15878" max="15878" width="19" style="209" customWidth="1"/>
    <col min="15879" max="15879" width="9.85546875" style="209" customWidth="1"/>
    <col min="15880" max="15880" width="9.7109375" style="209" customWidth="1"/>
    <col min="15881" max="15881" width="7.7109375" style="209" customWidth="1"/>
    <col min="15882" max="15882" width="19.42578125" style="209" customWidth="1"/>
    <col min="15883" max="15883" width="10.7109375" style="209" customWidth="1"/>
    <col min="15884" max="16129" width="8.85546875" style="209"/>
    <col min="16130" max="16130" width="6.85546875" style="209" customWidth="1"/>
    <col min="16131" max="16131" width="28.42578125" style="209" customWidth="1"/>
    <col min="16132" max="16132" width="10.28515625" style="209" customWidth="1"/>
    <col min="16133" max="16133" width="21.85546875" style="209" customWidth="1"/>
    <col min="16134" max="16134" width="19" style="209" customWidth="1"/>
    <col min="16135" max="16135" width="9.85546875" style="209" customWidth="1"/>
    <col min="16136" max="16136" width="9.7109375" style="209" customWidth="1"/>
    <col min="16137" max="16137" width="7.7109375" style="209" customWidth="1"/>
    <col min="16138" max="16138" width="19.42578125" style="209" customWidth="1"/>
    <col min="16139" max="16139" width="10.7109375" style="209" customWidth="1"/>
    <col min="16140" max="16384" width="8.85546875" style="209"/>
  </cols>
  <sheetData>
    <row r="1" spans="1:15" s="1" customFormat="1" ht="14.25">
      <c r="A1" s="1" t="s">
        <v>20</v>
      </c>
      <c r="G1" s="204"/>
      <c r="H1" s="204"/>
      <c r="I1" s="204"/>
      <c r="J1" s="15"/>
    </row>
    <row r="2" spans="1:15" s="1" customFormat="1" ht="14.25">
      <c r="A2" s="1" t="s">
        <v>21</v>
      </c>
      <c r="G2" s="204"/>
      <c r="H2" s="204"/>
      <c r="I2" s="204"/>
      <c r="J2" s="15"/>
    </row>
    <row r="3" spans="1:15" s="1" customFormat="1" ht="14.25">
      <c r="G3" s="204"/>
      <c r="H3" s="204"/>
      <c r="I3" s="204"/>
      <c r="J3" s="15"/>
    </row>
    <row r="4" spans="1:15" s="16" customFormat="1" ht="20.25">
      <c r="A4" s="302" t="s">
        <v>84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</row>
    <row r="5" spans="1:15" s="16" customFormat="1" ht="20.25">
      <c r="A5" s="310" t="s">
        <v>122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</row>
    <row r="7" spans="1:15" s="205" customFormat="1" ht="46.5" customHeight="1">
      <c r="A7" s="203" t="s">
        <v>0</v>
      </c>
      <c r="B7" s="203" t="s">
        <v>22</v>
      </c>
      <c r="C7" s="203" t="s">
        <v>23</v>
      </c>
      <c r="D7" s="203" t="s">
        <v>123</v>
      </c>
      <c r="E7" s="203" t="s">
        <v>124</v>
      </c>
      <c r="F7" s="203" t="s">
        <v>24</v>
      </c>
      <c r="G7" s="103" t="s">
        <v>25</v>
      </c>
      <c r="H7" s="103" t="s">
        <v>26</v>
      </c>
      <c r="I7" s="103" t="s">
        <v>27</v>
      </c>
      <c r="J7" s="75" t="s">
        <v>28</v>
      </c>
      <c r="K7" s="203" t="s">
        <v>29</v>
      </c>
    </row>
    <row r="8" spans="1:15" s="206" customFormat="1" ht="24.75" customHeight="1">
      <c r="A8" s="104"/>
      <c r="B8" s="104"/>
      <c r="C8" s="105"/>
      <c r="D8" s="197">
        <v>420000000</v>
      </c>
      <c r="E8" s="132">
        <v>349812000</v>
      </c>
      <c r="F8" s="190">
        <f>E8/D8</f>
        <v>0.83288571428571434</v>
      </c>
      <c r="G8" s="106"/>
      <c r="H8" s="106"/>
      <c r="I8" s="107">
        <v>27</v>
      </c>
      <c r="J8" s="74"/>
      <c r="K8" s="104"/>
    </row>
    <row r="9" spans="1:15" s="207" customFormat="1" ht="24.75" customHeight="1">
      <c r="A9" s="75"/>
      <c r="B9" s="75"/>
      <c r="C9" s="201"/>
      <c r="D9" s="75"/>
      <c r="E9" s="303" t="s">
        <v>125</v>
      </c>
      <c r="F9" s="304"/>
      <c r="G9" s="304"/>
      <c r="H9" s="304"/>
      <c r="I9" s="305"/>
      <c r="J9" s="108">
        <f>E23</f>
        <v>10144548</v>
      </c>
      <c r="K9" s="109"/>
    </row>
    <row r="10" spans="1:15" s="207" customFormat="1" ht="24.75" customHeight="1">
      <c r="A10" s="75"/>
      <c r="B10" s="75"/>
      <c r="C10" s="201"/>
      <c r="D10" s="75"/>
      <c r="E10" s="303" t="s">
        <v>126</v>
      </c>
      <c r="F10" s="304"/>
      <c r="G10" s="304"/>
      <c r="H10" s="304"/>
      <c r="I10" s="305"/>
      <c r="J10" s="110">
        <f>E25</f>
        <v>6763032</v>
      </c>
      <c r="K10" s="109"/>
    </row>
    <row r="11" spans="1:15" s="166" customFormat="1" ht="24.75" customHeight="1">
      <c r="A11" s="81">
        <v>1</v>
      </c>
      <c r="B11" s="83" t="s">
        <v>79</v>
      </c>
      <c r="C11" s="176" t="s">
        <v>82</v>
      </c>
      <c r="D11" s="198">
        <v>420000000</v>
      </c>
      <c r="E11" s="198">
        <v>349812000</v>
      </c>
      <c r="F11" s="191">
        <f>E11/D11</f>
        <v>0.83288571428571434</v>
      </c>
      <c r="G11" s="162">
        <v>1.7</v>
      </c>
      <c r="H11" s="163">
        <f>VLOOKUP(B11,'BẢNG CÔNG '!$B$6:$AN$9,39,FALSE)</f>
        <v>27</v>
      </c>
      <c r="I11" s="164">
        <f t="shared" ref="I11:I14" si="0">$I$8</f>
        <v>27</v>
      </c>
      <c r="J11" s="110">
        <f>IF(H11&gt;=7,$J$9/$G$15*G11*H11/I11,0)</f>
        <v>3381516.0000000005</v>
      </c>
      <c r="K11" s="165"/>
    </row>
    <row r="12" spans="1:15" s="166" customFormat="1" ht="24.75" customHeight="1">
      <c r="A12" s="81">
        <v>2</v>
      </c>
      <c r="B12" s="82" t="s">
        <v>81</v>
      </c>
      <c r="C12" s="176" t="s">
        <v>83</v>
      </c>
      <c r="D12" s="167"/>
      <c r="E12" s="167"/>
      <c r="F12" s="191" t="e">
        <f>E12/$E$15</f>
        <v>#DIV/0!</v>
      </c>
      <c r="G12" s="162">
        <v>1.2</v>
      </c>
      <c r="H12" s="163">
        <f>VLOOKUP(B12,'BẢNG CÔNG '!$B$6:$AN$9,39,FALSE)</f>
        <v>27</v>
      </c>
      <c r="I12" s="164">
        <f t="shared" si="0"/>
        <v>27</v>
      </c>
      <c r="J12" s="110" t="e">
        <f>$J$10*F12</f>
        <v>#DIV/0!</v>
      </c>
      <c r="K12" s="165"/>
    </row>
    <row r="13" spans="1:15" s="166" customFormat="1" ht="24.75" customHeight="1">
      <c r="A13" s="81">
        <v>3</v>
      </c>
      <c r="B13" s="83" t="s">
        <v>95</v>
      </c>
      <c r="C13" s="176" t="s">
        <v>83</v>
      </c>
      <c r="D13" s="167"/>
      <c r="E13" s="167"/>
      <c r="F13" s="191" t="e">
        <f>E13/$E$15</f>
        <v>#DIV/0!</v>
      </c>
      <c r="G13" s="162">
        <v>1.2</v>
      </c>
      <c r="H13" s="163">
        <f>VLOOKUP(B13,'BẢNG CÔNG '!$B$6:$AN$9,39,FALSE)</f>
        <v>27</v>
      </c>
      <c r="I13" s="164">
        <f t="shared" si="0"/>
        <v>27</v>
      </c>
      <c r="J13" s="110" t="e">
        <f t="shared" ref="J13" si="1">$J$10*F13</f>
        <v>#DIV/0!</v>
      </c>
      <c r="K13" s="165"/>
      <c r="L13" s="208"/>
    </row>
    <row r="14" spans="1:15" s="166" customFormat="1" ht="24.75" customHeight="1">
      <c r="A14" s="81">
        <v>4</v>
      </c>
      <c r="B14" s="83" t="s">
        <v>108</v>
      </c>
      <c r="C14" s="176" t="s">
        <v>114</v>
      </c>
      <c r="D14" s="167"/>
      <c r="E14" s="167"/>
      <c r="F14" s="191" t="e">
        <f>E14/$E$15</f>
        <v>#DIV/0!</v>
      </c>
      <c r="G14" s="162">
        <v>1</v>
      </c>
      <c r="H14" s="163">
        <f>VLOOKUP(B14,'BẢNG CÔNG '!$B$6:$AN$9,39,FALSE)</f>
        <v>27</v>
      </c>
      <c r="I14" s="164">
        <f t="shared" si="0"/>
        <v>27</v>
      </c>
      <c r="J14" s="110" t="e">
        <f>$J$10*F14</f>
        <v>#DIV/0!</v>
      </c>
      <c r="K14" s="165"/>
      <c r="L14" s="208"/>
    </row>
    <row r="15" spans="1:15" s="1" customFormat="1" ht="24.75" customHeight="1">
      <c r="A15" s="126"/>
      <c r="B15" s="126" t="s">
        <v>30</v>
      </c>
      <c r="C15" s="126"/>
      <c r="D15" s="127">
        <f>SUM(D12:D14)</f>
        <v>0</v>
      </c>
      <c r="E15" s="127">
        <f>SUM(E12:E14)</f>
        <v>0</v>
      </c>
      <c r="F15" s="128"/>
      <c r="G15" s="129">
        <f>SUM(G11:G14)</f>
        <v>5.0999999999999996</v>
      </c>
      <c r="H15" s="129"/>
      <c r="I15" s="129"/>
      <c r="J15" s="125" t="e">
        <f>SUM(J11:J14)</f>
        <v>#DIV/0!</v>
      </c>
      <c r="K15" s="111"/>
      <c r="O15" s="17"/>
    </row>
    <row r="16" spans="1:15" ht="16.5" customHeight="1">
      <c r="A16" s="308" t="s">
        <v>31</v>
      </c>
      <c r="B16" s="308"/>
      <c r="C16" s="308"/>
      <c r="D16" s="308"/>
      <c r="E16" s="308"/>
      <c r="F16" s="308"/>
      <c r="G16" s="308"/>
      <c r="H16" s="308"/>
      <c r="I16" s="308"/>
      <c r="J16" s="308"/>
      <c r="K16" s="17"/>
    </row>
    <row r="17" spans="1:11" ht="45" customHeight="1">
      <c r="A17" s="309" t="s">
        <v>32</v>
      </c>
      <c r="B17" s="309"/>
      <c r="C17" s="309"/>
      <c r="D17" s="309"/>
      <c r="E17" s="309"/>
      <c r="F17" s="309"/>
      <c r="G17" s="309"/>
      <c r="H17" s="309"/>
      <c r="I17" s="309"/>
      <c r="J17" s="309"/>
      <c r="K17" s="309"/>
    </row>
    <row r="18" spans="1:11" ht="19.5" customHeight="1">
      <c r="A18" s="306" t="s">
        <v>33</v>
      </c>
      <c r="B18" s="306"/>
      <c r="C18" s="306"/>
      <c r="D18" s="306"/>
      <c r="E18" s="306"/>
      <c r="F18" s="306"/>
      <c r="G18" s="306"/>
      <c r="H18" s="306"/>
      <c r="I18" s="306"/>
      <c r="J18" s="306"/>
      <c r="K18" s="306"/>
    </row>
    <row r="19" spans="1:11">
      <c r="A19" s="202" t="s">
        <v>45</v>
      </c>
      <c r="B19" s="17"/>
      <c r="C19" s="84"/>
      <c r="D19" s="17"/>
      <c r="E19" s="17"/>
      <c r="F19" s="17"/>
      <c r="G19" s="17"/>
      <c r="H19" s="17"/>
      <c r="I19" s="17"/>
      <c r="J19" s="17"/>
      <c r="K19" s="17"/>
    </row>
    <row r="20" spans="1:11">
      <c r="A20" s="17"/>
      <c r="B20" s="307" t="s">
        <v>34</v>
      </c>
      <c r="C20" s="307"/>
      <c r="D20" s="307"/>
      <c r="E20" s="112">
        <f>IF(F8&lt;=60%,0.006,IF(F8&lt;=70%,1.8%,IF(F8&lt;=80%,2.3%,IF(F8&lt;=90%,0.029,3.8%))))</f>
        <v>2.9000000000000001E-2</v>
      </c>
      <c r="F20" s="113"/>
      <c r="G20" s="113"/>
      <c r="H20" s="113"/>
      <c r="I20" s="113"/>
      <c r="J20" s="17"/>
      <c r="K20" s="114"/>
    </row>
    <row r="21" spans="1:11">
      <c r="A21" s="17"/>
      <c r="B21" s="311" t="s">
        <v>35</v>
      </c>
      <c r="C21" s="312"/>
      <c r="D21" s="313"/>
      <c r="E21" s="112" t="str">
        <f>IF(F8&gt;100%,0.048,"-")</f>
        <v>-</v>
      </c>
      <c r="F21" s="17"/>
      <c r="G21" s="17"/>
      <c r="H21" s="115"/>
      <c r="I21" s="115"/>
      <c r="J21" s="115"/>
      <c r="K21" s="116"/>
    </row>
    <row r="22" spans="1:11">
      <c r="A22" s="17"/>
      <c r="B22" s="307" t="s">
        <v>98</v>
      </c>
      <c r="C22" s="307"/>
      <c r="D22" s="307"/>
      <c r="E22" s="117">
        <f>E8/D8</f>
        <v>0.83288571428571434</v>
      </c>
      <c r="F22" s="17"/>
      <c r="G22" s="17"/>
      <c r="H22" s="115"/>
      <c r="I22" s="115"/>
      <c r="J22" s="115"/>
      <c r="K22" s="17"/>
    </row>
    <row r="23" spans="1:11">
      <c r="A23" s="17"/>
      <c r="B23" s="307" t="s">
        <v>36</v>
      </c>
      <c r="C23" s="307"/>
      <c r="D23" s="307"/>
      <c r="E23" s="118">
        <f>IF(F8&lt;=100%,E20*E8,E20*D8+(E8-D8)*E21)</f>
        <v>10144548</v>
      </c>
      <c r="F23" s="119"/>
      <c r="G23" s="17"/>
      <c r="H23" s="120"/>
      <c r="I23" s="120"/>
      <c r="J23" s="120"/>
      <c r="K23" s="116"/>
    </row>
    <row r="24" spans="1:11">
      <c r="A24" s="17"/>
      <c r="B24" s="311" t="s">
        <v>99</v>
      </c>
      <c r="C24" s="312"/>
      <c r="D24" s="313"/>
      <c r="E24" s="121">
        <f>J11</f>
        <v>3381516.0000000005</v>
      </c>
      <c r="F24" s="17"/>
      <c r="G24" s="17"/>
      <c r="H24" s="122"/>
      <c r="I24" s="122"/>
      <c r="J24" s="122"/>
      <c r="K24" s="17"/>
    </row>
    <row r="25" spans="1:11">
      <c r="A25" s="17"/>
      <c r="B25" s="307" t="s">
        <v>37</v>
      </c>
      <c r="C25" s="307"/>
      <c r="D25" s="307"/>
      <c r="E25" s="123">
        <f>E23-E24</f>
        <v>6763032</v>
      </c>
      <c r="F25" s="113"/>
      <c r="G25" s="113"/>
      <c r="H25" s="124"/>
      <c r="I25" s="124"/>
      <c r="J25" s="124"/>
      <c r="K25" s="17"/>
    </row>
    <row r="26" spans="1:11">
      <c r="F26" s="210"/>
    </row>
    <row r="27" spans="1:11" s="192" customFormat="1" ht="15.75">
      <c r="B27" s="200" t="s">
        <v>38</v>
      </c>
      <c r="C27" s="193"/>
      <c r="D27" s="193"/>
      <c r="E27" s="194" t="s">
        <v>43</v>
      </c>
      <c r="F27" s="195"/>
      <c r="G27" s="193"/>
      <c r="H27" s="193"/>
      <c r="I27" s="301" t="s">
        <v>39</v>
      </c>
      <c r="J27" s="301"/>
      <c r="K27" s="301"/>
    </row>
    <row r="28" spans="1:11">
      <c r="B28" s="212"/>
      <c r="C28" s="213"/>
      <c r="D28" s="213"/>
      <c r="E28" s="213"/>
      <c r="F28" s="213"/>
      <c r="G28" s="213"/>
      <c r="H28" s="213"/>
      <c r="I28" s="213"/>
      <c r="J28" s="213"/>
      <c r="K28" s="213"/>
    </row>
    <row r="29" spans="1:11">
      <c r="B29" s="212"/>
      <c r="C29" s="213"/>
      <c r="D29" s="213"/>
      <c r="E29" s="213"/>
      <c r="F29" s="213"/>
      <c r="G29" s="213"/>
      <c r="H29" s="213"/>
      <c r="I29" s="213"/>
      <c r="J29" s="213"/>
      <c r="K29" s="213"/>
    </row>
    <row r="30" spans="1:11">
      <c r="B30" s="212"/>
      <c r="C30" s="213"/>
      <c r="D30" s="213"/>
      <c r="E30" s="213"/>
      <c r="F30" s="213"/>
      <c r="G30" s="213"/>
      <c r="H30" s="213"/>
      <c r="I30" s="213"/>
      <c r="J30" s="213"/>
      <c r="K30" s="213"/>
    </row>
    <row r="31" spans="1:11">
      <c r="A31" s="210"/>
      <c r="B31" s="214"/>
      <c r="C31" s="215"/>
      <c r="D31" s="215"/>
      <c r="E31" s="215"/>
      <c r="G31" s="215"/>
      <c r="H31" s="213"/>
      <c r="I31" s="213"/>
      <c r="J31" s="213"/>
      <c r="K31" s="213"/>
    </row>
    <row r="32" spans="1:11">
      <c r="A32" s="210"/>
      <c r="B32" s="214"/>
      <c r="C32" s="215"/>
      <c r="D32" s="215"/>
      <c r="E32" s="215"/>
      <c r="G32" s="215"/>
      <c r="H32" s="213"/>
      <c r="I32" s="213"/>
      <c r="J32" s="213"/>
      <c r="K32" s="213"/>
    </row>
    <row r="33" spans="1:11" ht="21.75" customHeight="1">
      <c r="A33" s="210"/>
      <c r="B33" s="219" t="s">
        <v>113</v>
      </c>
      <c r="C33" s="215"/>
      <c r="D33" s="215"/>
      <c r="E33" s="215"/>
      <c r="G33" s="215"/>
      <c r="H33" s="213"/>
      <c r="I33" s="294" t="s">
        <v>79</v>
      </c>
      <c r="J33" s="294"/>
      <c r="K33" s="294"/>
    </row>
    <row r="34" spans="1:11">
      <c r="A34" s="210"/>
      <c r="B34" s="214"/>
      <c r="C34" s="215"/>
      <c r="D34" s="215"/>
      <c r="E34" s="215"/>
      <c r="G34" s="216"/>
    </row>
    <row r="35" spans="1:11">
      <c r="A35" s="210"/>
      <c r="B35" s="210"/>
      <c r="C35" s="215"/>
      <c r="D35" s="215"/>
      <c r="E35" s="215"/>
      <c r="G35" s="216"/>
    </row>
    <row r="36" spans="1:11">
      <c r="A36" s="210"/>
      <c r="B36" s="210"/>
      <c r="C36" s="215"/>
      <c r="D36" s="215"/>
      <c r="E36" s="215"/>
      <c r="F36" s="210"/>
      <c r="G36" s="216"/>
    </row>
    <row r="37" spans="1:11">
      <c r="C37" s="215"/>
      <c r="D37" s="215"/>
      <c r="E37" s="215"/>
    </row>
  </sheetData>
  <mergeCells count="15">
    <mergeCell ref="I27:K27"/>
    <mergeCell ref="I33:K33"/>
    <mergeCell ref="A4:K4"/>
    <mergeCell ref="E9:I9"/>
    <mergeCell ref="E10:I10"/>
    <mergeCell ref="A18:K18"/>
    <mergeCell ref="B25:D25"/>
    <mergeCell ref="A16:J16"/>
    <mergeCell ref="A17:K17"/>
    <mergeCell ref="B20:D20"/>
    <mergeCell ref="A5:K5"/>
    <mergeCell ref="B21:D21"/>
    <mergeCell ref="B22:D22"/>
    <mergeCell ref="B23:D23"/>
    <mergeCell ref="B24:D24"/>
  </mergeCells>
  <pageMargins left="0.7" right="0.7" top="0.75" bottom="0.75" header="0.3" footer="0.3"/>
  <pageSetup paperSize="9" scale="7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WE27"/>
  <sheetViews>
    <sheetView tabSelected="1" zoomScale="90" zoomScaleNormal="90" workbookViewId="0">
      <pane xSplit="5" ySplit="10" topLeftCell="F11" activePane="bottomRight" state="frozen"/>
      <selection pane="topRight" activeCell="F1" sqref="F1"/>
      <selection pane="bottomLeft" activeCell="A12" sqref="A12"/>
      <selection pane="bottomRight" activeCell="A15" sqref="A15:XFD15"/>
    </sheetView>
  </sheetViews>
  <sheetFormatPr defaultColWidth="9" defaultRowHeight="15"/>
  <cols>
    <col min="1" max="1" width="5.140625" style="59" customWidth="1"/>
    <col min="2" max="2" width="9.140625" style="59" customWidth="1"/>
    <col min="3" max="3" width="26.5703125" style="59" customWidth="1"/>
    <col min="4" max="4" width="11.7109375" style="59" customWidth="1"/>
    <col min="5" max="5" width="11" style="60" customWidth="1"/>
    <col min="6" max="6" width="10.140625" style="60" customWidth="1"/>
    <col min="7" max="7" width="10.42578125" style="60" customWidth="1"/>
    <col min="8" max="9" width="9.28515625" style="60" customWidth="1"/>
    <col min="10" max="10" width="8.140625" style="60" customWidth="1"/>
    <col min="11" max="11" width="11.5703125" style="60" customWidth="1"/>
    <col min="12" max="12" width="12" style="60" customWidth="1"/>
    <col min="13" max="13" width="11.42578125" style="60" customWidth="1"/>
    <col min="14" max="14" width="12.85546875" style="60" customWidth="1"/>
    <col min="15" max="15" width="13.7109375" style="61" customWidth="1"/>
    <col min="16" max="16" width="12.140625" style="61" customWidth="1"/>
    <col min="17" max="17" width="10.5703125" style="61" customWidth="1"/>
    <col min="18" max="18" width="11.140625" style="61" customWidth="1"/>
    <col min="19" max="19" width="13.28515625" style="61" customWidth="1"/>
    <col min="20" max="22" width="10.7109375" style="61" customWidth="1"/>
    <col min="23" max="23" width="10.85546875" style="61" customWidth="1"/>
    <col min="24" max="24" width="10.7109375" style="61" customWidth="1"/>
    <col min="25" max="25" width="12.42578125" style="61" customWidth="1"/>
    <col min="26" max="26" width="10" style="59" customWidth="1"/>
    <col min="27" max="27" width="12" style="59" customWidth="1"/>
    <col min="28" max="28" width="11.7109375" style="59" customWidth="1"/>
    <col min="29" max="29" width="9.28515625" style="59" customWidth="1"/>
    <col min="30" max="30" width="13.5703125" style="59" customWidth="1"/>
    <col min="31" max="31" width="11.5703125" style="62" customWidth="1"/>
    <col min="32" max="32" width="10.140625" style="62" customWidth="1"/>
    <col min="33" max="33" width="14.140625" style="59" customWidth="1"/>
    <col min="34" max="34" width="12.42578125" style="59" customWidth="1"/>
    <col min="35" max="35" width="21.85546875" style="59" customWidth="1"/>
    <col min="36" max="264" width="9" style="59"/>
    <col min="265" max="265" width="6.85546875" style="59" customWidth="1"/>
    <col min="266" max="266" width="28.42578125" style="59" customWidth="1"/>
    <col min="267" max="267" width="7.7109375" style="59" customWidth="1"/>
    <col min="268" max="268" width="14.140625" style="59" customWidth="1"/>
    <col min="269" max="269" width="12" style="59" customWidth="1"/>
    <col min="270" max="270" width="13.7109375" style="59" customWidth="1"/>
    <col min="271" max="271" width="6.7109375" style="59" customWidth="1"/>
    <col min="272" max="272" width="11.7109375" style="59" customWidth="1"/>
    <col min="273" max="273" width="12.140625" style="59" customWidth="1"/>
    <col min="274" max="274" width="11.85546875" style="59" customWidth="1"/>
    <col min="275" max="275" width="13.85546875" style="59" customWidth="1"/>
    <col min="276" max="276" width="11.42578125" style="59" customWidth="1"/>
    <col min="277" max="277" width="12.7109375" style="59" customWidth="1"/>
    <col min="278" max="278" width="12.5703125" style="59" customWidth="1"/>
    <col min="279" max="279" width="9" style="59" hidden="1" customWidth="1"/>
    <col min="280" max="281" width="12.42578125" style="59" customWidth="1"/>
    <col min="282" max="282" width="12" style="59" customWidth="1"/>
    <col min="283" max="283" width="10.28515625" style="59" customWidth="1"/>
    <col min="284" max="284" width="14" style="59" customWidth="1"/>
    <col min="285" max="286" width="10.28515625" style="59" customWidth="1"/>
    <col min="287" max="287" width="12.7109375" style="59" customWidth="1"/>
    <col min="288" max="288" width="16.28515625" style="59" customWidth="1"/>
    <col min="289" max="520" width="9" style="59"/>
    <col min="521" max="521" width="6.85546875" style="59" customWidth="1"/>
    <col min="522" max="522" width="28.42578125" style="59" customWidth="1"/>
    <col min="523" max="523" width="7.7109375" style="59" customWidth="1"/>
    <col min="524" max="524" width="14.140625" style="59" customWidth="1"/>
    <col min="525" max="525" width="12" style="59" customWidth="1"/>
    <col min="526" max="526" width="13.7109375" style="59" customWidth="1"/>
    <col min="527" max="527" width="6.7109375" style="59" customWidth="1"/>
    <col min="528" max="528" width="11.7109375" style="59" customWidth="1"/>
    <col min="529" max="529" width="12.140625" style="59" customWidth="1"/>
    <col min="530" max="530" width="11.85546875" style="59" customWidth="1"/>
    <col min="531" max="531" width="13.85546875" style="59" customWidth="1"/>
    <col min="532" max="532" width="11.42578125" style="59" customWidth="1"/>
    <col min="533" max="533" width="12.7109375" style="59" customWidth="1"/>
    <col min="534" max="534" width="12.5703125" style="59" customWidth="1"/>
    <col min="535" max="535" width="9" style="59" hidden="1" customWidth="1"/>
    <col min="536" max="537" width="12.42578125" style="59" customWidth="1"/>
    <col min="538" max="538" width="12" style="59" customWidth="1"/>
    <col min="539" max="539" width="10.28515625" style="59" customWidth="1"/>
    <col min="540" max="540" width="14" style="59" customWidth="1"/>
    <col min="541" max="542" width="10.28515625" style="59" customWidth="1"/>
    <col min="543" max="543" width="12.7109375" style="59" customWidth="1"/>
    <col min="544" max="544" width="16.28515625" style="59" customWidth="1"/>
    <col min="545" max="776" width="9" style="59"/>
    <col min="777" max="777" width="6.85546875" style="59" customWidth="1"/>
    <col min="778" max="778" width="28.42578125" style="59" customWidth="1"/>
    <col min="779" max="779" width="7.7109375" style="59" customWidth="1"/>
    <col min="780" max="780" width="14.140625" style="59" customWidth="1"/>
    <col min="781" max="781" width="12" style="59" customWidth="1"/>
    <col min="782" max="782" width="13.7109375" style="59" customWidth="1"/>
    <col min="783" max="783" width="6.7109375" style="59" customWidth="1"/>
    <col min="784" max="784" width="11.7109375" style="59" customWidth="1"/>
    <col min="785" max="785" width="12.140625" style="59" customWidth="1"/>
    <col min="786" max="786" width="11.85546875" style="59" customWidth="1"/>
    <col min="787" max="787" width="13.85546875" style="59" customWidth="1"/>
    <col min="788" max="788" width="11.42578125" style="59" customWidth="1"/>
    <col min="789" max="789" width="12.7109375" style="59" customWidth="1"/>
    <col min="790" max="790" width="12.5703125" style="59" customWidth="1"/>
    <col min="791" max="791" width="9" style="59" hidden="1" customWidth="1"/>
    <col min="792" max="793" width="12.42578125" style="59" customWidth="1"/>
    <col min="794" max="794" width="12" style="59" customWidth="1"/>
    <col min="795" max="795" width="10.28515625" style="59" customWidth="1"/>
    <col min="796" max="796" width="14" style="59" customWidth="1"/>
    <col min="797" max="798" width="10.28515625" style="59" customWidth="1"/>
    <col min="799" max="799" width="12.7109375" style="59" customWidth="1"/>
    <col min="800" max="800" width="16.28515625" style="59" customWidth="1"/>
    <col min="801" max="1032" width="9" style="59"/>
    <col min="1033" max="1033" width="6.85546875" style="59" customWidth="1"/>
    <col min="1034" max="1034" width="28.42578125" style="59" customWidth="1"/>
    <col min="1035" max="1035" width="7.7109375" style="59" customWidth="1"/>
    <col min="1036" max="1036" width="14.140625" style="59" customWidth="1"/>
    <col min="1037" max="1037" width="12" style="59" customWidth="1"/>
    <col min="1038" max="1038" width="13.7109375" style="59" customWidth="1"/>
    <col min="1039" max="1039" width="6.7109375" style="59" customWidth="1"/>
    <col min="1040" max="1040" width="11.7109375" style="59" customWidth="1"/>
    <col min="1041" max="1041" width="12.140625" style="59" customWidth="1"/>
    <col min="1042" max="1042" width="11.85546875" style="59" customWidth="1"/>
    <col min="1043" max="1043" width="13.85546875" style="59" customWidth="1"/>
    <col min="1044" max="1044" width="11.42578125" style="59" customWidth="1"/>
    <col min="1045" max="1045" width="12.7109375" style="59" customWidth="1"/>
    <col min="1046" max="1046" width="12.5703125" style="59" customWidth="1"/>
    <col min="1047" max="1047" width="9" style="59" hidden="1" customWidth="1"/>
    <col min="1048" max="1049" width="12.42578125" style="59" customWidth="1"/>
    <col min="1050" max="1050" width="12" style="59" customWidth="1"/>
    <col min="1051" max="1051" width="10.28515625" style="59" customWidth="1"/>
    <col min="1052" max="1052" width="14" style="59" customWidth="1"/>
    <col min="1053" max="1054" width="10.28515625" style="59" customWidth="1"/>
    <col min="1055" max="1055" width="12.7109375" style="59" customWidth="1"/>
    <col min="1056" max="1056" width="16.28515625" style="59" customWidth="1"/>
    <col min="1057" max="1288" width="9" style="59"/>
    <col min="1289" max="1289" width="6.85546875" style="59" customWidth="1"/>
    <col min="1290" max="1290" width="28.42578125" style="59" customWidth="1"/>
    <col min="1291" max="1291" width="7.7109375" style="59" customWidth="1"/>
    <col min="1292" max="1292" width="14.140625" style="59" customWidth="1"/>
    <col min="1293" max="1293" width="12" style="59" customWidth="1"/>
    <col min="1294" max="1294" width="13.7109375" style="59" customWidth="1"/>
    <col min="1295" max="1295" width="6.7109375" style="59" customWidth="1"/>
    <col min="1296" max="1296" width="11.7109375" style="59" customWidth="1"/>
    <col min="1297" max="1297" width="12.140625" style="59" customWidth="1"/>
    <col min="1298" max="1298" width="11.85546875" style="59" customWidth="1"/>
    <col min="1299" max="1299" width="13.85546875" style="59" customWidth="1"/>
    <col min="1300" max="1300" width="11.42578125" style="59" customWidth="1"/>
    <col min="1301" max="1301" width="12.7109375" style="59" customWidth="1"/>
    <col min="1302" max="1302" width="12.5703125" style="59" customWidth="1"/>
    <col min="1303" max="1303" width="9" style="59" hidden="1" customWidth="1"/>
    <col min="1304" max="1305" width="12.42578125" style="59" customWidth="1"/>
    <col min="1306" max="1306" width="12" style="59" customWidth="1"/>
    <col min="1307" max="1307" width="10.28515625" style="59" customWidth="1"/>
    <col min="1308" max="1308" width="14" style="59" customWidth="1"/>
    <col min="1309" max="1310" width="10.28515625" style="59" customWidth="1"/>
    <col min="1311" max="1311" width="12.7109375" style="59" customWidth="1"/>
    <col min="1312" max="1312" width="16.28515625" style="59" customWidth="1"/>
    <col min="1313" max="1544" width="9" style="59"/>
    <col min="1545" max="1545" width="6.85546875" style="59" customWidth="1"/>
    <col min="1546" max="1546" width="28.42578125" style="59" customWidth="1"/>
    <col min="1547" max="1547" width="7.7109375" style="59" customWidth="1"/>
    <col min="1548" max="1548" width="14.140625" style="59" customWidth="1"/>
    <col min="1549" max="1549" width="12" style="59" customWidth="1"/>
    <col min="1550" max="1550" width="13.7109375" style="59" customWidth="1"/>
    <col min="1551" max="1551" width="6.7109375" style="59" customWidth="1"/>
    <col min="1552" max="1552" width="11.7109375" style="59" customWidth="1"/>
    <col min="1553" max="1553" width="12.140625" style="59" customWidth="1"/>
    <col min="1554" max="1554" width="11.85546875" style="59" customWidth="1"/>
    <col min="1555" max="1555" width="13.85546875" style="59" customWidth="1"/>
    <col min="1556" max="1556" width="11.42578125" style="59" customWidth="1"/>
    <col min="1557" max="1557" width="12.7109375" style="59" customWidth="1"/>
    <col min="1558" max="1558" width="12.5703125" style="59" customWidth="1"/>
    <col min="1559" max="1559" width="9" style="59" hidden="1" customWidth="1"/>
    <col min="1560" max="1561" width="12.42578125" style="59" customWidth="1"/>
    <col min="1562" max="1562" width="12" style="59" customWidth="1"/>
    <col min="1563" max="1563" width="10.28515625" style="59" customWidth="1"/>
    <col min="1564" max="1564" width="14" style="59" customWidth="1"/>
    <col min="1565" max="1566" width="10.28515625" style="59" customWidth="1"/>
    <col min="1567" max="1567" width="12.7109375" style="59" customWidth="1"/>
    <col min="1568" max="1568" width="16.28515625" style="59" customWidth="1"/>
    <col min="1569" max="1800" width="9" style="59"/>
    <col min="1801" max="1801" width="6.85546875" style="59" customWidth="1"/>
    <col min="1802" max="1802" width="28.42578125" style="59" customWidth="1"/>
    <col min="1803" max="1803" width="7.7109375" style="59" customWidth="1"/>
    <col min="1804" max="1804" width="14.140625" style="59" customWidth="1"/>
    <col min="1805" max="1805" width="12" style="59" customWidth="1"/>
    <col min="1806" max="1806" width="13.7109375" style="59" customWidth="1"/>
    <col min="1807" max="1807" width="6.7109375" style="59" customWidth="1"/>
    <col min="1808" max="1808" width="11.7109375" style="59" customWidth="1"/>
    <col min="1809" max="1809" width="12.140625" style="59" customWidth="1"/>
    <col min="1810" max="1810" width="11.85546875" style="59" customWidth="1"/>
    <col min="1811" max="1811" width="13.85546875" style="59" customWidth="1"/>
    <col min="1812" max="1812" width="11.42578125" style="59" customWidth="1"/>
    <col min="1813" max="1813" width="12.7109375" style="59" customWidth="1"/>
    <col min="1814" max="1814" width="12.5703125" style="59" customWidth="1"/>
    <col min="1815" max="1815" width="9" style="59" hidden="1" customWidth="1"/>
    <col min="1816" max="1817" width="12.42578125" style="59" customWidth="1"/>
    <col min="1818" max="1818" width="12" style="59" customWidth="1"/>
    <col min="1819" max="1819" width="10.28515625" style="59" customWidth="1"/>
    <col min="1820" max="1820" width="14" style="59" customWidth="1"/>
    <col min="1821" max="1822" width="10.28515625" style="59" customWidth="1"/>
    <col min="1823" max="1823" width="12.7109375" style="59" customWidth="1"/>
    <col min="1824" max="1824" width="16.28515625" style="59" customWidth="1"/>
    <col min="1825" max="2056" width="9" style="59"/>
    <col min="2057" max="2057" width="6.85546875" style="59" customWidth="1"/>
    <col min="2058" max="2058" width="28.42578125" style="59" customWidth="1"/>
    <col min="2059" max="2059" width="7.7109375" style="59" customWidth="1"/>
    <col min="2060" max="2060" width="14.140625" style="59" customWidth="1"/>
    <col min="2061" max="2061" width="12" style="59" customWidth="1"/>
    <col min="2062" max="2062" width="13.7109375" style="59" customWidth="1"/>
    <col min="2063" max="2063" width="6.7109375" style="59" customWidth="1"/>
    <col min="2064" max="2064" width="11.7109375" style="59" customWidth="1"/>
    <col min="2065" max="2065" width="12.140625" style="59" customWidth="1"/>
    <col min="2066" max="2066" width="11.85546875" style="59" customWidth="1"/>
    <col min="2067" max="2067" width="13.85546875" style="59" customWidth="1"/>
    <col min="2068" max="2068" width="11.42578125" style="59" customWidth="1"/>
    <col min="2069" max="2069" width="12.7109375" style="59" customWidth="1"/>
    <col min="2070" max="2070" width="12.5703125" style="59" customWidth="1"/>
    <col min="2071" max="2071" width="9" style="59" hidden="1" customWidth="1"/>
    <col min="2072" max="2073" width="12.42578125" style="59" customWidth="1"/>
    <col min="2074" max="2074" width="12" style="59" customWidth="1"/>
    <col min="2075" max="2075" width="10.28515625" style="59" customWidth="1"/>
    <col min="2076" max="2076" width="14" style="59" customWidth="1"/>
    <col min="2077" max="2078" width="10.28515625" style="59" customWidth="1"/>
    <col min="2079" max="2079" width="12.7109375" style="59" customWidth="1"/>
    <col min="2080" max="2080" width="16.28515625" style="59" customWidth="1"/>
    <col min="2081" max="2312" width="9" style="59"/>
    <col min="2313" max="2313" width="6.85546875" style="59" customWidth="1"/>
    <col min="2314" max="2314" width="28.42578125" style="59" customWidth="1"/>
    <col min="2315" max="2315" width="7.7109375" style="59" customWidth="1"/>
    <col min="2316" max="2316" width="14.140625" style="59" customWidth="1"/>
    <col min="2317" max="2317" width="12" style="59" customWidth="1"/>
    <col min="2318" max="2318" width="13.7109375" style="59" customWidth="1"/>
    <col min="2319" max="2319" width="6.7109375" style="59" customWidth="1"/>
    <col min="2320" max="2320" width="11.7109375" style="59" customWidth="1"/>
    <col min="2321" max="2321" width="12.140625" style="59" customWidth="1"/>
    <col min="2322" max="2322" width="11.85546875" style="59" customWidth="1"/>
    <col min="2323" max="2323" width="13.85546875" style="59" customWidth="1"/>
    <col min="2324" max="2324" width="11.42578125" style="59" customWidth="1"/>
    <col min="2325" max="2325" width="12.7109375" style="59" customWidth="1"/>
    <col min="2326" max="2326" width="12.5703125" style="59" customWidth="1"/>
    <col min="2327" max="2327" width="9" style="59" hidden="1" customWidth="1"/>
    <col min="2328" max="2329" width="12.42578125" style="59" customWidth="1"/>
    <col min="2330" max="2330" width="12" style="59" customWidth="1"/>
    <col min="2331" max="2331" width="10.28515625" style="59" customWidth="1"/>
    <col min="2332" max="2332" width="14" style="59" customWidth="1"/>
    <col min="2333" max="2334" width="10.28515625" style="59" customWidth="1"/>
    <col min="2335" max="2335" width="12.7109375" style="59" customWidth="1"/>
    <col min="2336" max="2336" width="16.28515625" style="59" customWidth="1"/>
    <col min="2337" max="2568" width="9" style="59"/>
    <col min="2569" max="2569" width="6.85546875" style="59" customWidth="1"/>
    <col min="2570" max="2570" width="28.42578125" style="59" customWidth="1"/>
    <col min="2571" max="2571" width="7.7109375" style="59" customWidth="1"/>
    <col min="2572" max="2572" width="14.140625" style="59" customWidth="1"/>
    <col min="2573" max="2573" width="12" style="59" customWidth="1"/>
    <col min="2574" max="2574" width="13.7109375" style="59" customWidth="1"/>
    <col min="2575" max="2575" width="6.7109375" style="59" customWidth="1"/>
    <col min="2576" max="2576" width="11.7109375" style="59" customWidth="1"/>
    <col min="2577" max="2577" width="12.140625" style="59" customWidth="1"/>
    <col min="2578" max="2578" width="11.85546875" style="59" customWidth="1"/>
    <col min="2579" max="2579" width="13.85546875" style="59" customWidth="1"/>
    <col min="2580" max="2580" width="11.42578125" style="59" customWidth="1"/>
    <col min="2581" max="2581" width="12.7109375" style="59" customWidth="1"/>
    <col min="2582" max="2582" width="12.5703125" style="59" customWidth="1"/>
    <col min="2583" max="2583" width="9" style="59" hidden="1" customWidth="1"/>
    <col min="2584" max="2585" width="12.42578125" style="59" customWidth="1"/>
    <col min="2586" max="2586" width="12" style="59" customWidth="1"/>
    <col min="2587" max="2587" width="10.28515625" style="59" customWidth="1"/>
    <col min="2588" max="2588" width="14" style="59" customWidth="1"/>
    <col min="2589" max="2590" width="10.28515625" style="59" customWidth="1"/>
    <col min="2591" max="2591" width="12.7109375" style="59" customWidth="1"/>
    <col min="2592" max="2592" width="16.28515625" style="59" customWidth="1"/>
    <col min="2593" max="2824" width="9" style="59"/>
    <col min="2825" max="2825" width="6.85546875" style="59" customWidth="1"/>
    <col min="2826" max="2826" width="28.42578125" style="59" customWidth="1"/>
    <col min="2827" max="2827" width="7.7109375" style="59" customWidth="1"/>
    <col min="2828" max="2828" width="14.140625" style="59" customWidth="1"/>
    <col min="2829" max="2829" width="12" style="59" customWidth="1"/>
    <col min="2830" max="2830" width="13.7109375" style="59" customWidth="1"/>
    <col min="2831" max="2831" width="6.7109375" style="59" customWidth="1"/>
    <col min="2832" max="2832" width="11.7109375" style="59" customWidth="1"/>
    <col min="2833" max="2833" width="12.140625" style="59" customWidth="1"/>
    <col min="2834" max="2834" width="11.85546875" style="59" customWidth="1"/>
    <col min="2835" max="2835" width="13.85546875" style="59" customWidth="1"/>
    <col min="2836" max="2836" width="11.42578125" style="59" customWidth="1"/>
    <col min="2837" max="2837" width="12.7109375" style="59" customWidth="1"/>
    <col min="2838" max="2838" width="12.5703125" style="59" customWidth="1"/>
    <col min="2839" max="2839" width="9" style="59" hidden="1" customWidth="1"/>
    <col min="2840" max="2841" width="12.42578125" style="59" customWidth="1"/>
    <col min="2842" max="2842" width="12" style="59" customWidth="1"/>
    <col min="2843" max="2843" width="10.28515625" style="59" customWidth="1"/>
    <col min="2844" max="2844" width="14" style="59" customWidth="1"/>
    <col min="2845" max="2846" width="10.28515625" style="59" customWidth="1"/>
    <col min="2847" max="2847" width="12.7109375" style="59" customWidth="1"/>
    <col min="2848" max="2848" width="16.28515625" style="59" customWidth="1"/>
    <col min="2849" max="3080" width="9" style="59"/>
    <col min="3081" max="3081" width="6.85546875" style="59" customWidth="1"/>
    <col min="3082" max="3082" width="28.42578125" style="59" customWidth="1"/>
    <col min="3083" max="3083" width="7.7109375" style="59" customWidth="1"/>
    <col min="3084" max="3084" width="14.140625" style="59" customWidth="1"/>
    <col min="3085" max="3085" width="12" style="59" customWidth="1"/>
    <col min="3086" max="3086" width="13.7109375" style="59" customWidth="1"/>
    <col min="3087" max="3087" width="6.7109375" style="59" customWidth="1"/>
    <col min="3088" max="3088" width="11.7109375" style="59" customWidth="1"/>
    <col min="3089" max="3089" width="12.140625" style="59" customWidth="1"/>
    <col min="3090" max="3090" width="11.85546875" style="59" customWidth="1"/>
    <col min="3091" max="3091" width="13.85546875" style="59" customWidth="1"/>
    <col min="3092" max="3092" width="11.42578125" style="59" customWidth="1"/>
    <col min="3093" max="3093" width="12.7109375" style="59" customWidth="1"/>
    <col min="3094" max="3094" width="12.5703125" style="59" customWidth="1"/>
    <col min="3095" max="3095" width="9" style="59" hidden="1" customWidth="1"/>
    <col min="3096" max="3097" width="12.42578125" style="59" customWidth="1"/>
    <col min="3098" max="3098" width="12" style="59" customWidth="1"/>
    <col min="3099" max="3099" width="10.28515625" style="59" customWidth="1"/>
    <col min="3100" max="3100" width="14" style="59" customWidth="1"/>
    <col min="3101" max="3102" width="10.28515625" style="59" customWidth="1"/>
    <col min="3103" max="3103" width="12.7109375" style="59" customWidth="1"/>
    <col min="3104" max="3104" width="16.28515625" style="59" customWidth="1"/>
    <col min="3105" max="3336" width="9" style="59"/>
    <col min="3337" max="3337" width="6.85546875" style="59" customWidth="1"/>
    <col min="3338" max="3338" width="28.42578125" style="59" customWidth="1"/>
    <col min="3339" max="3339" width="7.7109375" style="59" customWidth="1"/>
    <col min="3340" max="3340" width="14.140625" style="59" customWidth="1"/>
    <col min="3341" max="3341" width="12" style="59" customWidth="1"/>
    <col min="3342" max="3342" width="13.7109375" style="59" customWidth="1"/>
    <col min="3343" max="3343" width="6.7109375" style="59" customWidth="1"/>
    <col min="3344" max="3344" width="11.7109375" style="59" customWidth="1"/>
    <col min="3345" max="3345" width="12.140625" style="59" customWidth="1"/>
    <col min="3346" max="3346" width="11.85546875" style="59" customWidth="1"/>
    <col min="3347" max="3347" width="13.85546875" style="59" customWidth="1"/>
    <col min="3348" max="3348" width="11.42578125" style="59" customWidth="1"/>
    <col min="3349" max="3349" width="12.7109375" style="59" customWidth="1"/>
    <col min="3350" max="3350" width="12.5703125" style="59" customWidth="1"/>
    <col min="3351" max="3351" width="9" style="59" hidden="1" customWidth="1"/>
    <col min="3352" max="3353" width="12.42578125" style="59" customWidth="1"/>
    <col min="3354" max="3354" width="12" style="59" customWidth="1"/>
    <col min="3355" max="3355" width="10.28515625" style="59" customWidth="1"/>
    <col min="3356" max="3356" width="14" style="59" customWidth="1"/>
    <col min="3357" max="3358" width="10.28515625" style="59" customWidth="1"/>
    <col min="3359" max="3359" width="12.7109375" style="59" customWidth="1"/>
    <col min="3360" max="3360" width="16.28515625" style="59" customWidth="1"/>
    <col min="3361" max="3592" width="9" style="59"/>
    <col min="3593" max="3593" width="6.85546875" style="59" customWidth="1"/>
    <col min="3594" max="3594" width="28.42578125" style="59" customWidth="1"/>
    <col min="3595" max="3595" width="7.7109375" style="59" customWidth="1"/>
    <col min="3596" max="3596" width="14.140625" style="59" customWidth="1"/>
    <col min="3597" max="3597" width="12" style="59" customWidth="1"/>
    <col min="3598" max="3598" width="13.7109375" style="59" customWidth="1"/>
    <col min="3599" max="3599" width="6.7109375" style="59" customWidth="1"/>
    <col min="3600" max="3600" width="11.7109375" style="59" customWidth="1"/>
    <col min="3601" max="3601" width="12.140625" style="59" customWidth="1"/>
    <col min="3602" max="3602" width="11.85546875" style="59" customWidth="1"/>
    <col min="3603" max="3603" width="13.85546875" style="59" customWidth="1"/>
    <col min="3604" max="3604" width="11.42578125" style="59" customWidth="1"/>
    <col min="3605" max="3605" width="12.7109375" style="59" customWidth="1"/>
    <col min="3606" max="3606" width="12.5703125" style="59" customWidth="1"/>
    <col min="3607" max="3607" width="9" style="59" hidden="1" customWidth="1"/>
    <col min="3608" max="3609" width="12.42578125" style="59" customWidth="1"/>
    <col min="3610" max="3610" width="12" style="59" customWidth="1"/>
    <col min="3611" max="3611" width="10.28515625" style="59" customWidth="1"/>
    <col min="3612" max="3612" width="14" style="59" customWidth="1"/>
    <col min="3613" max="3614" width="10.28515625" style="59" customWidth="1"/>
    <col min="3615" max="3615" width="12.7109375" style="59" customWidth="1"/>
    <col min="3616" max="3616" width="16.28515625" style="59" customWidth="1"/>
    <col min="3617" max="3848" width="9" style="59"/>
    <col min="3849" max="3849" width="6.85546875" style="59" customWidth="1"/>
    <col min="3850" max="3850" width="28.42578125" style="59" customWidth="1"/>
    <col min="3851" max="3851" width="7.7109375" style="59" customWidth="1"/>
    <col min="3852" max="3852" width="14.140625" style="59" customWidth="1"/>
    <col min="3853" max="3853" width="12" style="59" customWidth="1"/>
    <col min="3854" max="3854" width="13.7109375" style="59" customWidth="1"/>
    <col min="3855" max="3855" width="6.7109375" style="59" customWidth="1"/>
    <col min="3856" max="3856" width="11.7109375" style="59" customWidth="1"/>
    <col min="3857" max="3857" width="12.140625" style="59" customWidth="1"/>
    <col min="3858" max="3858" width="11.85546875" style="59" customWidth="1"/>
    <col min="3859" max="3859" width="13.85546875" style="59" customWidth="1"/>
    <col min="3860" max="3860" width="11.42578125" style="59" customWidth="1"/>
    <col min="3861" max="3861" width="12.7109375" style="59" customWidth="1"/>
    <col min="3862" max="3862" width="12.5703125" style="59" customWidth="1"/>
    <col min="3863" max="3863" width="9" style="59" hidden="1" customWidth="1"/>
    <col min="3864" max="3865" width="12.42578125" style="59" customWidth="1"/>
    <col min="3866" max="3866" width="12" style="59" customWidth="1"/>
    <col min="3867" max="3867" width="10.28515625" style="59" customWidth="1"/>
    <col min="3868" max="3868" width="14" style="59" customWidth="1"/>
    <col min="3869" max="3870" width="10.28515625" style="59" customWidth="1"/>
    <col min="3871" max="3871" width="12.7109375" style="59" customWidth="1"/>
    <col min="3872" max="3872" width="16.28515625" style="59" customWidth="1"/>
    <col min="3873" max="4104" width="9" style="59"/>
    <col min="4105" max="4105" width="6.85546875" style="59" customWidth="1"/>
    <col min="4106" max="4106" width="28.42578125" style="59" customWidth="1"/>
    <col min="4107" max="4107" width="7.7109375" style="59" customWidth="1"/>
    <col min="4108" max="4108" width="14.140625" style="59" customWidth="1"/>
    <col min="4109" max="4109" width="12" style="59" customWidth="1"/>
    <col min="4110" max="4110" width="13.7109375" style="59" customWidth="1"/>
    <col min="4111" max="4111" width="6.7109375" style="59" customWidth="1"/>
    <col min="4112" max="4112" width="11.7109375" style="59" customWidth="1"/>
    <col min="4113" max="4113" width="12.140625" style="59" customWidth="1"/>
    <col min="4114" max="4114" width="11.85546875" style="59" customWidth="1"/>
    <col min="4115" max="4115" width="13.85546875" style="59" customWidth="1"/>
    <col min="4116" max="4116" width="11.42578125" style="59" customWidth="1"/>
    <col min="4117" max="4117" width="12.7109375" style="59" customWidth="1"/>
    <col min="4118" max="4118" width="12.5703125" style="59" customWidth="1"/>
    <col min="4119" max="4119" width="9" style="59" hidden="1" customWidth="1"/>
    <col min="4120" max="4121" width="12.42578125" style="59" customWidth="1"/>
    <col min="4122" max="4122" width="12" style="59" customWidth="1"/>
    <col min="4123" max="4123" width="10.28515625" style="59" customWidth="1"/>
    <col min="4124" max="4124" width="14" style="59" customWidth="1"/>
    <col min="4125" max="4126" width="10.28515625" style="59" customWidth="1"/>
    <col min="4127" max="4127" width="12.7109375" style="59" customWidth="1"/>
    <col min="4128" max="4128" width="16.28515625" style="59" customWidth="1"/>
    <col min="4129" max="4360" width="9" style="59"/>
    <col min="4361" max="4361" width="6.85546875" style="59" customWidth="1"/>
    <col min="4362" max="4362" width="28.42578125" style="59" customWidth="1"/>
    <col min="4363" max="4363" width="7.7109375" style="59" customWidth="1"/>
    <col min="4364" max="4364" width="14.140625" style="59" customWidth="1"/>
    <col min="4365" max="4365" width="12" style="59" customWidth="1"/>
    <col min="4366" max="4366" width="13.7109375" style="59" customWidth="1"/>
    <col min="4367" max="4367" width="6.7109375" style="59" customWidth="1"/>
    <col min="4368" max="4368" width="11.7109375" style="59" customWidth="1"/>
    <col min="4369" max="4369" width="12.140625" style="59" customWidth="1"/>
    <col min="4370" max="4370" width="11.85546875" style="59" customWidth="1"/>
    <col min="4371" max="4371" width="13.85546875" style="59" customWidth="1"/>
    <col min="4372" max="4372" width="11.42578125" style="59" customWidth="1"/>
    <col min="4373" max="4373" width="12.7109375" style="59" customWidth="1"/>
    <col min="4374" max="4374" width="12.5703125" style="59" customWidth="1"/>
    <col min="4375" max="4375" width="9" style="59" hidden="1" customWidth="1"/>
    <col min="4376" max="4377" width="12.42578125" style="59" customWidth="1"/>
    <col min="4378" max="4378" width="12" style="59" customWidth="1"/>
    <col min="4379" max="4379" width="10.28515625" style="59" customWidth="1"/>
    <col min="4380" max="4380" width="14" style="59" customWidth="1"/>
    <col min="4381" max="4382" width="10.28515625" style="59" customWidth="1"/>
    <col min="4383" max="4383" width="12.7109375" style="59" customWidth="1"/>
    <col min="4384" max="4384" width="16.28515625" style="59" customWidth="1"/>
    <col min="4385" max="4616" width="9" style="59"/>
    <col min="4617" max="4617" width="6.85546875" style="59" customWidth="1"/>
    <col min="4618" max="4618" width="28.42578125" style="59" customWidth="1"/>
    <col min="4619" max="4619" width="7.7109375" style="59" customWidth="1"/>
    <col min="4620" max="4620" width="14.140625" style="59" customWidth="1"/>
    <col min="4621" max="4621" width="12" style="59" customWidth="1"/>
    <col min="4622" max="4622" width="13.7109375" style="59" customWidth="1"/>
    <col min="4623" max="4623" width="6.7109375" style="59" customWidth="1"/>
    <col min="4624" max="4624" width="11.7109375" style="59" customWidth="1"/>
    <col min="4625" max="4625" width="12.140625" style="59" customWidth="1"/>
    <col min="4626" max="4626" width="11.85546875" style="59" customWidth="1"/>
    <col min="4627" max="4627" width="13.85546875" style="59" customWidth="1"/>
    <col min="4628" max="4628" width="11.42578125" style="59" customWidth="1"/>
    <col min="4629" max="4629" width="12.7109375" style="59" customWidth="1"/>
    <col min="4630" max="4630" width="12.5703125" style="59" customWidth="1"/>
    <col min="4631" max="4631" width="9" style="59" hidden="1" customWidth="1"/>
    <col min="4632" max="4633" width="12.42578125" style="59" customWidth="1"/>
    <col min="4634" max="4634" width="12" style="59" customWidth="1"/>
    <col min="4635" max="4635" width="10.28515625" style="59" customWidth="1"/>
    <col min="4636" max="4636" width="14" style="59" customWidth="1"/>
    <col min="4637" max="4638" width="10.28515625" style="59" customWidth="1"/>
    <col min="4639" max="4639" width="12.7109375" style="59" customWidth="1"/>
    <col min="4640" max="4640" width="16.28515625" style="59" customWidth="1"/>
    <col min="4641" max="4872" width="9" style="59"/>
    <col min="4873" max="4873" width="6.85546875" style="59" customWidth="1"/>
    <col min="4874" max="4874" width="28.42578125" style="59" customWidth="1"/>
    <col min="4875" max="4875" width="7.7109375" style="59" customWidth="1"/>
    <col min="4876" max="4876" width="14.140625" style="59" customWidth="1"/>
    <col min="4877" max="4877" width="12" style="59" customWidth="1"/>
    <col min="4878" max="4878" width="13.7109375" style="59" customWidth="1"/>
    <col min="4879" max="4879" width="6.7109375" style="59" customWidth="1"/>
    <col min="4880" max="4880" width="11.7109375" style="59" customWidth="1"/>
    <col min="4881" max="4881" width="12.140625" style="59" customWidth="1"/>
    <col min="4882" max="4882" width="11.85546875" style="59" customWidth="1"/>
    <col min="4883" max="4883" width="13.85546875" style="59" customWidth="1"/>
    <col min="4884" max="4884" width="11.42578125" style="59" customWidth="1"/>
    <col min="4885" max="4885" width="12.7109375" style="59" customWidth="1"/>
    <col min="4886" max="4886" width="12.5703125" style="59" customWidth="1"/>
    <col min="4887" max="4887" width="9" style="59" hidden="1" customWidth="1"/>
    <col min="4888" max="4889" width="12.42578125" style="59" customWidth="1"/>
    <col min="4890" max="4890" width="12" style="59" customWidth="1"/>
    <col min="4891" max="4891" width="10.28515625" style="59" customWidth="1"/>
    <col min="4892" max="4892" width="14" style="59" customWidth="1"/>
    <col min="4893" max="4894" width="10.28515625" style="59" customWidth="1"/>
    <col min="4895" max="4895" width="12.7109375" style="59" customWidth="1"/>
    <col min="4896" max="4896" width="16.28515625" style="59" customWidth="1"/>
    <col min="4897" max="5128" width="9" style="59"/>
    <col min="5129" max="5129" width="6.85546875" style="59" customWidth="1"/>
    <col min="5130" max="5130" width="28.42578125" style="59" customWidth="1"/>
    <col min="5131" max="5131" width="7.7109375" style="59" customWidth="1"/>
    <col min="5132" max="5132" width="14.140625" style="59" customWidth="1"/>
    <col min="5133" max="5133" width="12" style="59" customWidth="1"/>
    <col min="5134" max="5134" width="13.7109375" style="59" customWidth="1"/>
    <col min="5135" max="5135" width="6.7109375" style="59" customWidth="1"/>
    <col min="5136" max="5136" width="11.7109375" style="59" customWidth="1"/>
    <col min="5137" max="5137" width="12.140625" style="59" customWidth="1"/>
    <col min="5138" max="5138" width="11.85546875" style="59" customWidth="1"/>
    <col min="5139" max="5139" width="13.85546875" style="59" customWidth="1"/>
    <col min="5140" max="5140" width="11.42578125" style="59" customWidth="1"/>
    <col min="5141" max="5141" width="12.7109375" style="59" customWidth="1"/>
    <col min="5142" max="5142" width="12.5703125" style="59" customWidth="1"/>
    <col min="5143" max="5143" width="9" style="59" hidden="1" customWidth="1"/>
    <col min="5144" max="5145" width="12.42578125" style="59" customWidth="1"/>
    <col min="5146" max="5146" width="12" style="59" customWidth="1"/>
    <col min="5147" max="5147" width="10.28515625" style="59" customWidth="1"/>
    <col min="5148" max="5148" width="14" style="59" customWidth="1"/>
    <col min="5149" max="5150" width="10.28515625" style="59" customWidth="1"/>
    <col min="5151" max="5151" width="12.7109375" style="59" customWidth="1"/>
    <col min="5152" max="5152" width="16.28515625" style="59" customWidth="1"/>
    <col min="5153" max="5384" width="9" style="59"/>
    <col min="5385" max="5385" width="6.85546875" style="59" customWidth="1"/>
    <col min="5386" max="5386" width="28.42578125" style="59" customWidth="1"/>
    <col min="5387" max="5387" width="7.7109375" style="59" customWidth="1"/>
    <col min="5388" max="5388" width="14.140625" style="59" customWidth="1"/>
    <col min="5389" max="5389" width="12" style="59" customWidth="1"/>
    <col min="5390" max="5390" width="13.7109375" style="59" customWidth="1"/>
    <col min="5391" max="5391" width="6.7109375" style="59" customWidth="1"/>
    <col min="5392" max="5392" width="11.7109375" style="59" customWidth="1"/>
    <col min="5393" max="5393" width="12.140625" style="59" customWidth="1"/>
    <col min="5394" max="5394" width="11.85546875" style="59" customWidth="1"/>
    <col min="5395" max="5395" width="13.85546875" style="59" customWidth="1"/>
    <col min="5396" max="5396" width="11.42578125" style="59" customWidth="1"/>
    <col min="5397" max="5397" width="12.7109375" style="59" customWidth="1"/>
    <col min="5398" max="5398" width="12.5703125" style="59" customWidth="1"/>
    <col min="5399" max="5399" width="9" style="59" hidden="1" customWidth="1"/>
    <col min="5400" max="5401" width="12.42578125" style="59" customWidth="1"/>
    <col min="5402" max="5402" width="12" style="59" customWidth="1"/>
    <col min="5403" max="5403" width="10.28515625" style="59" customWidth="1"/>
    <col min="5404" max="5404" width="14" style="59" customWidth="1"/>
    <col min="5405" max="5406" width="10.28515625" style="59" customWidth="1"/>
    <col min="5407" max="5407" width="12.7109375" style="59" customWidth="1"/>
    <col min="5408" max="5408" width="16.28515625" style="59" customWidth="1"/>
    <col min="5409" max="5640" width="9" style="59"/>
    <col min="5641" max="5641" width="6.85546875" style="59" customWidth="1"/>
    <col min="5642" max="5642" width="28.42578125" style="59" customWidth="1"/>
    <col min="5643" max="5643" width="7.7109375" style="59" customWidth="1"/>
    <col min="5644" max="5644" width="14.140625" style="59" customWidth="1"/>
    <col min="5645" max="5645" width="12" style="59" customWidth="1"/>
    <col min="5646" max="5646" width="13.7109375" style="59" customWidth="1"/>
    <col min="5647" max="5647" width="6.7109375" style="59" customWidth="1"/>
    <col min="5648" max="5648" width="11.7109375" style="59" customWidth="1"/>
    <col min="5649" max="5649" width="12.140625" style="59" customWidth="1"/>
    <col min="5650" max="5650" width="11.85546875" style="59" customWidth="1"/>
    <col min="5651" max="5651" width="13.85546875" style="59" customWidth="1"/>
    <col min="5652" max="5652" width="11.42578125" style="59" customWidth="1"/>
    <col min="5653" max="5653" width="12.7109375" style="59" customWidth="1"/>
    <col min="5654" max="5654" width="12.5703125" style="59" customWidth="1"/>
    <col min="5655" max="5655" width="9" style="59" hidden="1" customWidth="1"/>
    <col min="5656" max="5657" width="12.42578125" style="59" customWidth="1"/>
    <col min="5658" max="5658" width="12" style="59" customWidth="1"/>
    <col min="5659" max="5659" width="10.28515625" style="59" customWidth="1"/>
    <col min="5660" max="5660" width="14" style="59" customWidth="1"/>
    <col min="5661" max="5662" width="10.28515625" style="59" customWidth="1"/>
    <col min="5663" max="5663" width="12.7109375" style="59" customWidth="1"/>
    <col min="5664" max="5664" width="16.28515625" style="59" customWidth="1"/>
    <col min="5665" max="5896" width="9" style="59"/>
    <col min="5897" max="5897" width="6.85546875" style="59" customWidth="1"/>
    <col min="5898" max="5898" width="28.42578125" style="59" customWidth="1"/>
    <col min="5899" max="5899" width="7.7109375" style="59" customWidth="1"/>
    <col min="5900" max="5900" width="14.140625" style="59" customWidth="1"/>
    <col min="5901" max="5901" width="12" style="59" customWidth="1"/>
    <col min="5902" max="5902" width="13.7109375" style="59" customWidth="1"/>
    <col min="5903" max="5903" width="6.7109375" style="59" customWidth="1"/>
    <col min="5904" max="5904" width="11.7109375" style="59" customWidth="1"/>
    <col min="5905" max="5905" width="12.140625" style="59" customWidth="1"/>
    <col min="5906" max="5906" width="11.85546875" style="59" customWidth="1"/>
    <col min="5907" max="5907" width="13.85546875" style="59" customWidth="1"/>
    <col min="5908" max="5908" width="11.42578125" style="59" customWidth="1"/>
    <col min="5909" max="5909" width="12.7109375" style="59" customWidth="1"/>
    <col min="5910" max="5910" width="12.5703125" style="59" customWidth="1"/>
    <col min="5911" max="5911" width="9" style="59" hidden="1" customWidth="1"/>
    <col min="5912" max="5913" width="12.42578125" style="59" customWidth="1"/>
    <col min="5914" max="5914" width="12" style="59" customWidth="1"/>
    <col min="5915" max="5915" width="10.28515625" style="59" customWidth="1"/>
    <col min="5916" max="5916" width="14" style="59" customWidth="1"/>
    <col min="5917" max="5918" width="10.28515625" style="59" customWidth="1"/>
    <col min="5919" max="5919" width="12.7109375" style="59" customWidth="1"/>
    <col min="5920" max="5920" width="16.28515625" style="59" customWidth="1"/>
    <col min="5921" max="6152" width="9" style="59"/>
    <col min="6153" max="6153" width="6.85546875" style="59" customWidth="1"/>
    <col min="6154" max="6154" width="28.42578125" style="59" customWidth="1"/>
    <col min="6155" max="6155" width="7.7109375" style="59" customWidth="1"/>
    <col min="6156" max="6156" width="14.140625" style="59" customWidth="1"/>
    <col min="6157" max="6157" width="12" style="59" customWidth="1"/>
    <col min="6158" max="6158" width="13.7109375" style="59" customWidth="1"/>
    <col min="6159" max="6159" width="6.7109375" style="59" customWidth="1"/>
    <col min="6160" max="6160" width="11.7109375" style="59" customWidth="1"/>
    <col min="6161" max="6161" width="12.140625" style="59" customWidth="1"/>
    <col min="6162" max="6162" width="11.85546875" style="59" customWidth="1"/>
    <col min="6163" max="6163" width="13.85546875" style="59" customWidth="1"/>
    <col min="6164" max="6164" width="11.42578125" style="59" customWidth="1"/>
    <col min="6165" max="6165" width="12.7109375" style="59" customWidth="1"/>
    <col min="6166" max="6166" width="12.5703125" style="59" customWidth="1"/>
    <col min="6167" max="6167" width="9" style="59" hidden="1" customWidth="1"/>
    <col min="6168" max="6169" width="12.42578125" style="59" customWidth="1"/>
    <col min="6170" max="6170" width="12" style="59" customWidth="1"/>
    <col min="6171" max="6171" width="10.28515625" style="59" customWidth="1"/>
    <col min="6172" max="6172" width="14" style="59" customWidth="1"/>
    <col min="6173" max="6174" width="10.28515625" style="59" customWidth="1"/>
    <col min="6175" max="6175" width="12.7109375" style="59" customWidth="1"/>
    <col min="6176" max="6176" width="16.28515625" style="59" customWidth="1"/>
    <col min="6177" max="6408" width="9" style="59"/>
    <col min="6409" max="6409" width="6.85546875" style="59" customWidth="1"/>
    <col min="6410" max="6410" width="28.42578125" style="59" customWidth="1"/>
    <col min="6411" max="6411" width="7.7109375" style="59" customWidth="1"/>
    <col min="6412" max="6412" width="14.140625" style="59" customWidth="1"/>
    <col min="6413" max="6413" width="12" style="59" customWidth="1"/>
    <col min="6414" max="6414" width="13.7109375" style="59" customWidth="1"/>
    <col min="6415" max="6415" width="6.7109375" style="59" customWidth="1"/>
    <col min="6416" max="6416" width="11.7109375" style="59" customWidth="1"/>
    <col min="6417" max="6417" width="12.140625" style="59" customWidth="1"/>
    <col min="6418" max="6418" width="11.85546875" style="59" customWidth="1"/>
    <col min="6419" max="6419" width="13.85546875" style="59" customWidth="1"/>
    <col min="6420" max="6420" width="11.42578125" style="59" customWidth="1"/>
    <col min="6421" max="6421" width="12.7109375" style="59" customWidth="1"/>
    <col min="6422" max="6422" width="12.5703125" style="59" customWidth="1"/>
    <col min="6423" max="6423" width="9" style="59" hidden="1" customWidth="1"/>
    <col min="6424" max="6425" width="12.42578125" style="59" customWidth="1"/>
    <col min="6426" max="6426" width="12" style="59" customWidth="1"/>
    <col min="6427" max="6427" width="10.28515625" style="59" customWidth="1"/>
    <col min="6428" max="6428" width="14" style="59" customWidth="1"/>
    <col min="6429" max="6430" width="10.28515625" style="59" customWidth="1"/>
    <col min="6431" max="6431" width="12.7109375" style="59" customWidth="1"/>
    <col min="6432" max="6432" width="16.28515625" style="59" customWidth="1"/>
    <col min="6433" max="6664" width="9" style="59"/>
    <col min="6665" max="6665" width="6.85546875" style="59" customWidth="1"/>
    <col min="6666" max="6666" width="28.42578125" style="59" customWidth="1"/>
    <col min="6667" max="6667" width="7.7109375" style="59" customWidth="1"/>
    <col min="6668" max="6668" width="14.140625" style="59" customWidth="1"/>
    <col min="6669" max="6669" width="12" style="59" customWidth="1"/>
    <col min="6670" max="6670" width="13.7109375" style="59" customWidth="1"/>
    <col min="6671" max="6671" width="6.7109375" style="59" customWidth="1"/>
    <col min="6672" max="6672" width="11.7109375" style="59" customWidth="1"/>
    <col min="6673" max="6673" width="12.140625" style="59" customWidth="1"/>
    <col min="6674" max="6674" width="11.85546875" style="59" customWidth="1"/>
    <col min="6675" max="6675" width="13.85546875" style="59" customWidth="1"/>
    <col min="6676" max="6676" width="11.42578125" style="59" customWidth="1"/>
    <col min="6677" max="6677" width="12.7109375" style="59" customWidth="1"/>
    <col min="6678" max="6678" width="12.5703125" style="59" customWidth="1"/>
    <col min="6679" max="6679" width="9" style="59" hidden="1" customWidth="1"/>
    <col min="6680" max="6681" width="12.42578125" style="59" customWidth="1"/>
    <col min="6682" max="6682" width="12" style="59" customWidth="1"/>
    <col min="6683" max="6683" width="10.28515625" style="59" customWidth="1"/>
    <col min="6684" max="6684" width="14" style="59" customWidth="1"/>
    <col min="6685" max="6686" width="10.28515625" style="59" customWidth="1"/>
    <col min="6687" max="6687" width="12.7109375" style="59" customWidth="1"/>
    <col min="6688" max="6688" width="16.28515625" style="59" customWidth="1"/>
    <col min="6689" max="6920" width="9" style="59"/>
    <col min="6921" max="6921" width="6.85546875" style="59" customWidth="1"/>
    <col min="6922" max="6922" width="28.42578125" style="59" customWidth="1"/>
    <col min="6923" max="6923" width="7.7109375" style="59" customWidth="1"/>
    <col min="6924" max="6924" width="14.140625" style="59" customWidth="1"/>
    <col min="6925" max="6925" width="12" style="59" customWidth="1"/>
    <col min="6926" max="6926" width="13.7109375" style="59" customWidth="1"/>
    <col min="6927" max="6927" width="6.7109375" style="59" customWidth="1"/>
    <col min="6928" max="6928" width="11.7109375" style="59" customWidth="1"/>
    <col min="6929" max="6929" width="12.140625" style="59" customWidth="1"/>
    <col min="6930" max="6930" width="11.85546875" style="59" customWidth="1"/>
    <col min="6931" max="6931" width="13.85546875" style="59" customWidth="1"/>
    <col min="6932" max="6932" width="11.42578125" style="59" customWidth="1"/>
    <col min="6933" max="6933" width="12.7109375" style="59" customWidth="1"/>
    <col min="6934" max="6934" width="12.5703125" style="59" customWidth="1"/>
    <col min="6935" max="6935" width="9" style="59" hidden="1" customWidth="1"/>
    <col min="6936" max="6937" width="12.42578125" style="59" customWidth="1"/>
    <col min="6938" max="6938" width="12" style="59" customWidth="1"/>
    <col min="6939" max="6939" width="10.28515625" style="59" customWidth="1"/>
    <col min="6940" max="6940" width="14" style="59" customWidth="1"/>
    <col min="6941" max="6942" width="10.28515625" style="59" customWidth="1"/>
    <col min="6943" max="6943" width="12.7109375" style="59" customWidth="1"/>
    <col min="6944" max="6944" width="16.28515625" style="59" customWidth="1"/>
    <col min="6945" max="7176" width="9" style="59"/>
    <col min="7177" max="7177" width="6.85546875" style="59" customWidth="1"/>
    <col min="7178" max="7178" width="28.42578125" style="59" customWidth="1"/>
    <col min="7179" max="7179" width="7.7109375" style="59" customWidth="1"/>
    <col min="7180" max="7180" width="14.140625" style="59" customWidth="1"/>
    <col min="7181" max="7181" width="12" style="59" customWidth="1"/>
    <col min="7182" max="7182" width="13.7109375" style="59" customWidth="1"/>
    <col min="7183" max="7183" width="6.7109375" style="59" customWidth="1"/>
    <col min="7184" max="7184" width="11.7109375" style="59" customWidth="1"/>
    <col min="7185" max="7185" width="12.140625" style="59" customWidth="1"/>
    <col min="7186" max="7186" width="11.85546875" style="59" customWidth="1"/>
    <col min="7187" max="7187" width="13.85546875" style="59" customWidth="1"/>
    <col min="7188" max="7188" width="11.42578125" style="59" customWidth="1"/>
    <col min="7189" max="7189" width="12.7109375" style="59" customWidth="1"/>
    <col min="7190" max="7190" width="12.5703125" style="59" customWidth="1"/>
    <col min="7191" max="7191" width="9" style="59" hidden="1" customWidth="1"/>
    <col min="7192" max="7193" width="12.42578125" style="59" customWidth="1"/>
    <col min="7194" max="7194" width="12" style="59" customWidth="1"/>
    <col min="7195" max="7195" width="10.28515625" style="59" customWidth="1"/>
    <col min="7196" max="7196" width="14" style="59" customWidth="1"/>
    <col min="7197" max="7198" width="10.28515625" style="59" customWidth="1"/>
    <col min="7199" max="7199" width="12.7109375" style="59" customWidth="1"/>
    <col min="7200" max="7200" width="16.28515625" style="59" customWidth="1"/>
    <col min="7201" max="7432" width="9" style="59"/>
    <col min="7433" max="7433" width="6.85546875" style="59" customWidth="1"/>
    <col min="7434" max="7434" width="28.42578125" style="59" customWidth="1"/>
    <col min="7435" max="7435" width="7.7109375" style="59" customWidth="1"/>
    <col min="7436" max="7436" width="14.140625" style="59" customWidth="1"/>
    <col min="7437" max="7437" width="12" style="59" customWidth="1"/>
    <col min="7438" max="7438" width="13.7109375" style="59" customWidth="1"/>
    <col min="7439" max="7439" width="6.7109375" style="59" customWidth="1"/>
    <col min="7440" max="7440" width="11.7109375" style="59" customWidth="1"/>
    <col min="7441" max="7441" width="12.140625" style="59" customWidth="1"/>
    <col min="7442" max="7442" width="11.85546875" style="59" customWidth="1"/>
    <col min="7443" max="7443" width="13.85546875" style="59" customWidth="1"/>
    <col min="7444" max="7444" width="11.42578125" style="59" customWidth="1"/>
    <col min="7445" max="7445" width="12.7109375" style="59" customWidth="1"/>
    <col min="7446" max="7446" width="12.5703125" style="59" customWidth="1"/>
    <col min="7447" max="7447" width="9" style="59" hidden="1" customWidth="1"/>
    <col min="7448" max="7449" width="12.42578125" style="59" customWidth="1"/>
    <col min="7450" max="7450" width="12" style="59" customWidth="1"/>
    <col min="7451" max="7451" width="10.28515625" style="59" customWidth="1"/>
    <col min="7452" max="7452" width="14" style="59" customWidth="1"/>
    <col min="7453" max="7454" width="10.28515625" style="59" customWidth="1"/>
    <col min="7455" max="7455" width="12.7109375" style="59" customWidth="1"/>
    <col min="7456" max="7456" width="16.28515625" style="59" customWidth="1"/>
    <col min="7457" max="7688" width="9" style="59"/>
    <col min="7689" max="7689" width="6.85546875" style="59" customWidth="1"/>
    <col min="7690" max="7690" width="28.42578125" style="59" customWidth="1"/>
    <col min="7691" max="7691" width="7.7109375" style="59" customWidth="1"/>
    <col min="7692" max="7692" width="14.140625" style="59" customWidth="1"/>
    <col min="7693" max="7693" width="12" style="59" customWidth="1"/>
    <col min="7694" max="7694" width="13.7109375" style="59" customWidth="1"/>
    <col min="7695" max="7695" width="6.7109375" style="59" customWidth="1"/>
    <col min="7696" max="7696" width="11.7109375" style="59" customWidth="1"/>
    <col min="7697" max="7697" width="12.140625" style="59" customWidth="1"/>
    <col min="7698" max="7698" width="11.85546875" style="59" customWidth="1"/>
    <col min="7699" max="7699" width="13.85546875" style="59" customWidth="1"/>
    <col min="7700" max="7700" width="11.42578125" style="59" customWidth="1"/>
    <col min="7701" max="7701" width="12.7109375" style="59" customWidth="1"/>
    <col min="7702" max="7702" width="12.5703125" style="59" customWidth="1"/>
    <col min="7703" max="7703" width="9" style="59" hidden="1" customWidth="1"/>
    <col min="7704" max="7705" width="12.42578125" style="59" customWidth="1"/>
    <col min="7706" max="7706" width="12" style="59" customWidth="1"/>
    <col min="7707" max="7707" width="10.28515625" style="59" customWidth="1"/>
    <col min="7708" max="7708" width="14" style="59" customWidth="1"/>
    <col min="7709" max="7710" width="10.28515625" style="59" customWidth="1"/>
    <col min="7711" max="7711" width="12.7109375" style="59" customWidth="1"/>
    <col min="7712" max="7712" width="16.28515625" style="59" customWidth="1"/>
    <col min="7713" max="7944" width="9" style="59"/>
    <col min="7945" max="7945" width="6.85546875" style="59" customWidth="1"/>
    <col min="7946" max="7946" width="28.42578125" style="59" customWidth="1"/>
    <col min="7947" max="7947" width="7.7109375" style="59" customWidth="1"/>
    <col min="7948" max="7948" width="14.140625" style="59" customWidth="1"/>
    <col min="7949" max="7949" width="12" style="59" customWidth="1"/>
    <col min="7950" max="7950" width="13.7109375" style="59" customWidth="1"/>
    <col min="7951" max="7951" width="6.7109375" style="59" customWidth="1"/>
    <col min="7952" max="7952" width="11.7109375" style="59" customWidth="1"/>
    <col min="7953" max="7953" width="12.140625" style="59" customWidth="1"/>
    <col min="7954" max="7954" width="11.85546875" style="59" customWidth="1"/>
    <col min="7955" max="7955" width="13.85546875" style="59" customWidth="1"/>
    <col min="7956" max="7956" width="11.42578125" style="59" customWidth="1"/>
    <col min="7957" max="7957" width="12.7109375" style="59" customWidth="1"/>
    <col min="7958" max="7958" width="12.5703125" style="59" customWidth="1"/>
    <col min="7959" max="7959" width="9" style="59" hidden="1" customWidth="1"/>
    <col min="7960" max="7961" width="12.42578125" style="59" customWidth="1"/>
    <col min="7962" max="7962" width="12" style="59" customWidth="1"/>
    <col min="7963" max="7963" width="10.28515625" style="59" customWidth="1"/>
    <col min="7964" max="7964" width="14" style="59" customWidth="1"/>
    <col min="7965" max="7966" width="10.28515625" style="59" customWidth="1"/>
    <col min="7967" max="7967" width="12.7109375" style="59" customWidth="1"/>
    <col min="7968" max="7968" width="16.28515625" style="59" customWidth="1"/>
    <col min="7969" max="8200" width="9" style="59"/>
    <col min="8201" max="8201" width="6.85546875" style="59" customWidth="1"/>
    <col min="8202" max="8202" width="28.42578125" style="59" customWidth="1"/>
    <col min="8203" max="8203" width="7.7109375" style="59" customWidth="1"/>
    <col min="8204" max="8204" width="14.140625" style="59" customWidth="1"/>
    <col min="8205" max="8205" width="12" style="59" customWidth="1"/>
    <col min="8206" max="8206" width="13.7109375" style="59" customWidth="1"/>
    <col min="8207" max="8207" width="6.7109375" style="59" customWidth="1"/>
    <col min="8208" max="8208" width="11.7109375" style="59" customWidth="1"/>
    <col min="8209" max="8209" width="12.140625" style="59" customWidth="1"/>
    <col min="8210" max="8210" width="11.85546875" style="59" customWidth="1"/>
    <col min="8211" max="8211" width="13.85546875" style="59" customWidth="1"/>
    <col min="8212" max="8212" width="11.42578125" style="59" customWidth="1"/>
    <col min="8213" max="8213" width="12.7109375" style="59" customWidth="1"/>
    <col min="8214" max="8214" width="12.5703125" style="59" customWidth="1"/>
    <col min="8215" max="8215" width="9" style="59" hidden="1" customWidth="1"/>
    <col min="8216" max="8217" width="12.42578125" style="59" customWidth="1"/>
    <col min="8218" max="8218" width="12" style="59" customWidth="1"/>
    <col min="8219" max="8219" width="10.28515625" style="59" customWidth="1"/>
    <col min="8220" max="8220" width="14" style="59" customWidth="1"/>
    <col min="8221" max="8222" width="10.28515625" style="59" customWidth="1"/>
    <col min="8223" max="8223" width="12.7109375" style="59" customWidth="1"/>
    <col min="8224" max="8224" width="16.28515625" style="59" customWidth="1"/>
    <col min="8225" max="8456" width="9" style="59"/>
    <col min="8457" max="8457" width="6.85546875" style="59" customWidth="1"/>
    <col min="8458" max="8458" width="28.42578125" style="59" customWidth="1"/>
    <col min="8459" max="8459" width="7.7109375" style="59" customWidth="1"/>
    <col min="8460" max="8460" width="14.140625" style="59" customWidth="1"/>
    <col min="8461" max="8461" width="12" style="59" customWidth="1"/>
    <col min="8462" max="8462" width="13.7109375" style="59" customWidth="1"/>
    <col min="8463" max="8463" width="6.7109375" style="59" customWidth="1"/>
    <col min="8464" max="8464" width="11.7109375" style="59" customWidth="1"/>
    <col min="8465" max="8465" width="12.140625" style="59" customWidth="1"/>
    <col min="8466" max="8466" width="11.85546875" style="59" customWidth="1"/>
    <col min="8467" max="8467" width="13.85546875" style="59" customWidth="1"/>
    <col min="8468" max="8468" width="11.42578125" style="59" customWidth="1"/>
    <col min="8469" max="8469" width="12.7109375" style="59" customWidth="1"/>
    <col min="8470" max="8470" width="12.5703125" style="59" customWidth="1"/>
    <col min="8471" max="8471" width="9" style="59" hidden="1" customWidth="1"/>
    <col min="8472" max="8473" width="12.42578125" style="59" customWidth="1"/>
    <col min="8474" max="8474" width="12" style="59" customWidth="1"/>
    <col min="8475" max="8475" width="10.28515625" style="59" customWidth="1"/>
    <col min="8476" max="8476" width="14" style="59" customWidth="1"/>
    <col min="8477" max="8478" width="10.28515625" style="59" customWidth="1"/>
    <col min="8479" max="8479" width="12.7109375" style="59" customWidth="1"/>
    <col min="8480" max="8480" width="16.28515625" style="59" customWidth="1"/>
    <col min="8481" max="8712" width="9" style="59"/>
    <col min="8713" max="8713" width="6.85546875" style="59" customWidth="1"/>
    <col min="8714" max="8714" width="28.42578125" style="59" customWidth="1"/>
    <col min="8715" max="8715" width="7.7109375" style="59" customWidth="1"/>
    <col min="8716" max="8716" width="14.140625" style="59" customWidth="1"/>
    <col min="8717" max="8717" width="12" style="59" customWidth="1"/>
    <col min="8718" max="8718" width="13.7109375" style="59" customWidth="1"/>
    <col min="8719" max="8719" width="6.7109375" style="59" customWidth="1"/>
    <col min="8720" max="8720" width="11.7109375" style="59" customWidth="1"/>
    <col min="8721" max="8721" width="12.140625" style="59" customWidth="1"/>
    <col min="8722" max="8722" width="11.85546875" style="59" customWidth="1"/>
    <col min="8723" max="8723" width="13.85546875" style="59" customWidth="1"/>
    <col min="8724" max="8724" width="11.42578125" style="59" customWidth="1"/>
    <col min="8725" max="8725" width="12.7109375" style="59" customWidth="1"/>
    <col min="8726" max="8726" width="12.5703125" style="59" customWidth="1"/>
    <col min="8727" max="8727" width="9" style="59" hidden="1" customWidth="1"/>
    <col min="8728" max="8729" width="12.42578125" style="59" customWidth="1"/>
    <col min="8730" max="8730" width="12" style="59" customWidth="1"/>
    <col min="8731" max="8731" width="10.28515625" style="59" customWidth="1"/>
    <col min="8732" max="8732" width="14" style="59" customWidth="1"/>
    <col min="8733" max="8734" width="10.28515625" style="59" customWidth="1"/>
    <col min="8735" max="8735" width="12.7109375" style="59" customWidth="1"/>
    <col min="8736" max="8736" width="16.28515625" style="59" customWidth="1"/>
    <col min="8737" max="8968" width="9" style="59"/>
    <col min="8969" max="8969" width="6.85546875" style="59" customWidth="1"/>
    <col min="8970" max="8970" width="28.42578125" style="59" customWidth="1"/>
    <col min="8971" max="8971" width="7.7109375" style="59" customWidth="1"/>
    <col min="8972" max="8972" width="14.140625" style="59" customWidth="1"/>
    <col min="8973" max="8973" width="12" style="59" customWidth="1"/>
    <col min="8974" max="8974" width="13.7109375" style="59" customWidth="1"/>
    <col min="8975" max="8975" width="6.7109375" style="59" customWidth="1"/>
    <col min="8976" max="8976" width="11.7109375" style="59" customWidth="1"/>
    <col min="8977" max="8977" width="12.140625" style="59" customWidth="1"/>
    <col min="8978" max="8978" width="11.85546875" style="59" customWidth="1"/>
    <col min="8979" max="8979" width="13.85546875" style="59" customWidth="1"/>
    <col min="8980" max="8980" width="11.42578125" style="59" customWidth="1"/>
    <col min="8981" max="8981" width="12.7109375" style="59" customWidth="1"/>
    <col min="8982" max="8982" width="12.5703125" style="59" customWidth="1"/>
    <col min="8983" max="8983" width="9" style="59" hidden="1" customWidth="1"/>
    <col min="8984" max="8985" width="12.42578125" style="59" customWidth="1"/>
    <col min="8986" max="8986" width="12" style="59" customWidth="1"/>
    <col min="8987" max="8987" width="10.28515625" style="59" customWidth="1"/>
    <col min="8988" max="8988" width="14" style="59" customWidth="1"/>
    <col min="8989" max="8990" width="10.28515625" style="59" customWidth="1"/>
    <col min="8991" max="8991" width="12.7109375" style="59" customWidth="1"/>
    <col min="8992" max="8992" width="16.28515625" style="59" customWidth="1"/>
    <col min="8993" max="9224" width="9" style="59"/>
    <col min="9225" max="9225" width="6.85546875" style="59" customWidth="1"/>
    <col min="9226" max="9226" width="28.42578125" style="59" customWidth="1"/>
    <col min="9227" max="9227" width="7.7109375" style="59" customWidth="1"/>
    <col min="9228" max="9228" width="14.140625" style="59" customWidth="1"/>
    <col min="9229" max="9229" width="12" style="59" customWidth="1"/>
    <col min="9230" max="9230" width="13.7109375" style="59" customWidth="1"/>
    <col min="9231" max="9231" width="6.7109375" style="59" customWidth="1"/>
    <col min="9232" max="9232" width="11.7109375" style="59" customWidth="1"/>
    <col min="9233" max="9233" width="12.140625" style="59" customWidth="1"/>
    <col min="9234" max="9234" width="11.85546875" style="59" customWidth="1"/>
    <col min="9235" max="9235" width="13.85546875" style="59" customWidth="1"/>
    <col min="9236" max="9236" width="11.42578125" style="59" customWidth="1"/>
    <col min="9237" max="9237" width="12.7109375" style="59" customWidth="1"/>
    <col min="9238" max="9238" width="12.5703125" style="59" customWidth="1"/>
    <col min="9239" max="9239" width="9" style="59" hidden="1" customWidth="1"/>
    <col min="9240" max="9241" width="12.42578125" style="59" customWidth="1"/>
    <col min="9242" max="9242" width="12" style="59" customWidth="1"/>
    <col min="9243" max="9243" width="10.28515625" style="59" customWidth="1"/>
    <col min="9244" max="9244" width="14" style="59" customWidth="1"/>
    <col min="9245" max="9246" width="10.28515625" style="59" customWidth="1"/>
    <col min="9247" max="9247" width="12.7109375" style="59" customWidth="1"/>
    <col min="9248" max="9248" width="16.28515625" style="59" customWidth="1"/>
    <col min="9249" max="9480" width="9" style="59"/>
    <col min="9481" max="9481" width="6.85546875" style="59" customWidth="1"/>
    <col min="9482" max="9482" width="28.42578125" style="59" customWidth="1"/>
    <col min="9483" max="9483" width="7.7109375" style="59" customWidth="1"/>
    <col min="9484" max="9484" width="14.140625" style="59" customWidth="1"/>
    <col min="9485" max="9485" width="12" style="59" customWidth="1"/>
    <col min="9486" max="9486" width="13.7109375" style="59" customWidth="1"/>
    <col min="9487" max="9487" width="6.7109375" style="59" customWidth="1"/>
    <col min="9488" max="9488" width="11.7109375" style="59" customWidth="1"/>
    <col min="9489" max="9489" width="12.140625" style="59" customWidth="1"/>
    <col min="9490" max="9490" width="11.85546875" style="59" customWidth="1"/>
    <col min="9491" max="9491" width="13.85546875" style="59" customWidth="1"/>
    <col min="9492" max="9492" width="11.42578125" style="59" customWidth="1"/>
    <col min="9493" max="9493" width="12.7109375" style="59" customWidth="1"/>
    <col min="9494" max="9494" width="12.5703125" style="59" customWidth="1"/>
    <col min="9495" max="9495" width="9" style="59" hidden="1" customWidth="1"/>
    <col min="9496" max="9497" width="12.42578125" style="59" customWidth="1"/>
    <col min="9498" max="9498" width="12" style="59" customWidth="1"/>
    <col min="9499" max="9499" width="10.28515625" style="59" customWidth="1"/>
    <col min="9500" max="9500" width="14" style="59" customWidth="1"/>
    <col min="9501" max="9502" width="10.28515625" style="59" customWidth="1"/>
    <col min="9503" max="9503" width="12.7109375" style="59" customWidth="1"/>
    <col min="9504" max="9504" width="16.28515625" style="59" customWidth="1"/>
    <col min="9505" max="9736" width="9" style="59"/>
    <col min="9737" max="9737" width="6.85546875" style="59" customWidth="1"/>
    <col min="9738" max="9738" width="28.42578125" style="59" customWidth="1"/>
    <col min="9739" max="9739" width="7.7109375" style="59" customWidth="1"/>
    <col min="9740" max="9740" width="14.140625" style="59" customWidth="1"/>
    <col min="9741" max="9741" width="12" style="59" customWidth="1"/>
    <col min="9742" max="9742" width="13.7109375" style="59" customWidth="1"/>
    <col min="9743" max="9743" width="6.7109375" style="59" customWidth="1"/>
    <col min="9744" max="9744" width="11.7109375" style="59" customWidth="1"/>
    <col min="9745" max="9745" width="12.140625" style="59" customWidth="1"/>
    <col min="9746" max="9746" width="11.85546875" style="59" customWidth="1"/>
    <col min="9747" max="9747" width="13.85546875" style="59" customWidth="1"/>
    <col min="9748" max="9748" width="11.42578125" style="59" customWidth="1"/>
    <col min="9749" max="9749" width="12.7109375" style="59" customWidth="1"/>
    <col min="9750" max="9750" width="12.5703125" style="59" customWidth="1"/>
    <col min="9751" max="9751" width="9" style="59" hidden="1" customWidth="1"/>
    <col min="9752" max="9753" width="12.42578125" style="59" customWidth="1"/>
    <col min="9754" max="9754" width="12" style="59" customWidth="1"/>
    <col min="9755" max="9755" width="10.28515625" style="59" customWidth="1"/>
    <col min="9756" max="9756" width="14" style="59" customWidth="1"/>
    <col min="9757" max="9758" width="10.28515625" style="59" customWidth="1"/>
    <col min="9759" max="9759" width="12.7109375" style="59" customWidth="1"/>
    <col min="9760" max="9760" width="16.28515625" style="59" customWidth="1"/>
    <col min="9761" max="9992" width="9" style="59"/>
    <col min="9993" max="9993" width="6.85546875" style="59" customWidth="1"/>
    <col min="9994" max="9994" width="28.42578125" style="59" customWidth="1"/>
    <col min="9995" max="9995" width="7.7109375" style="59" customWidth="1"/>
    <col min="9996" max="9996" width="14.140625" style="59" customWidth="1"/>
    <col min="9997" max="9997" width="12" style="59" customWidth="1"/>
    <col min="9998" max="9998" width="13.7109375" style="59" customWidth="1"/>
    <col min="9999" max="9999" width="6.7109375" style="59" customWidth="1"/>
    <col min="10000" max="10000" width="11.7109375" style="59" customWidth="1"/>
    <col min="10001" max="10001" width="12.140625" style="59" customWidth="1"/>
    <col min="10002" max="10002" width="11.85546875" style="59" customWidth="1"/>
    <col min="10003" max="10003" width="13.85546875" style="59" customWidth="1"/>
    <col min="10004" max="10004" width="11.42578125" style="59" customWidth="1"/>
    <col min="10005" max="10005" width="12.7109375" style="59" customWidth="1"/>
    <col min="10006" max="10006" width="12.5703125" style="59" customWidth="1"/>
    <col min="10007" max="10007" width="9" style="59" hidden="1" customWidth="1"/>
    <col min="10008" max="10009" width="12.42578125" style="59" customWidth="1"/>
    <col min="10010" max="10010" width="12" style="59" customWidth="1"/>
    <col min="10011" max="10011" width="10.28515625" style="59" customWidth="1"/>
    <col min="10012" max="10012" width="14" style="59" customWidth="1"/>
    <col min="10013" max="10014" width="10.28515625" style="59" customWidth="1"/>
    <col min="10015" max="10015" width="12.7109375" style="59" customWidth="1"/>
    <col min="10016" max="10016" width="16.28515625" style="59" customWidth="1"/>
    <col min="10017" max="10248" width="9" style="59"/>
    <col min="10249" max="10249" width="6.85546875" style="59" customWidth="1"/>
    <col min="10250" max="10250" width="28.42578125" style="59" customWidth="1"/>
    <col min="10251" max="10251" width="7.7109375" style="59" customWidth="1"/>
    <col min="10252" max="10252" width="14.140625" style="59" customWidth="1"/>
    <col min="10253" max="10253" width="12" style="59" customWidth="1"/>
    <col min="10254" max="10254" width="13.7109375" style="59" customWidth="1"/>
    <col min="10255" max="10255" width="6.7109375" style="59" customWidth="1"/>
    <col min="10256" max="10256" width="11.7109375" style="59" customWidth="1"/>
    <col min="10257" max="10257" width="12.140625" style="59" customWidth="1"/>
    <col min="10258" max="10258" width="11.85546875" style="59" customWidth="1"/>
    <col min="10259" max="10259" width="13.85546875" style="59" customWidth="1"/>
    <col min="10260" max="10260" width="11.42578125" style="59" customWidth="1"/>
    <col min="10261" max="10261" width="12.7109375" style="59" customWidth="1"/>
    <col min="10262" max="10262" width="12.5703125" style="59" customWidth="1"/>
    <col min="10263" max="10263" width="9" style="59" hidden="1" customWidth="1"/>
    <col min="10264" max="10265" width="12.42578125" style="59" customWidth="1"/>
    <col min="10266" max="10266" width="12" style="59" customWidth="1"/>
    <col min="10267" max="10267" width="10.28515625" style="59" customWidth="1"/>
    <col min="10268" max="10268" width="14" style="59" customWidth="1"/>
    <col min="10269" max="10270" width="10.28515625" style="59" customWidth="1"/>
    <col min="10271" max="10271" width="12.7109375" style="59" customWidth="1"/>
    <col min="10272" max="10272" width="16.28515625" style="59" customWidth="1"/>
    <col min="10273" max="10504" width="9" style="59"/>
    <col min="10505" max="10505" width="6.85546875" style="59" customWidth="1"/>
    <col min="10506" max="10506" width="28.42578125" style="59" customWidth="1"/>
    <col min="10507" max="10507" width="7.7109375" style="59" customWidth="1"/>
    <col min="10508" max="10508" width="14.140625" style="59" customWidth="1"/>
    <col min="10509" max="10509" width="12" style="59" customWidth="1"/>
    <col min="10510" max="10510" width="13.7109375" style="59" customWidth="1"/>
    <col min="10511" max="10511" width="6.7109375" style="59" customWidth="1"/>
    <col min="10512" max="10512" width="11.7109375" style="59" customWidth="1"/>
    <col min="10513" max="10513" width="12.140625" style="59" customWidth="1"/>
    <col min="10514" max="10514" width="11.85546875" style="59" customWidth="1"/>
    <col min="10515" max="10515" width="13.85546875" style="59" customWidth="1"/>
    <col min="10516" max="10516" width="11.42578125" style="59" customWidth="1"/>
    <col min="10517" max="10517" width="12.7109375" style="59" customWidth="1"/>
    <col min="10518" max="10518" width="12.5703125" style="59" customWidth="1"/>
    <col min="10519" max="10519" width="9" style="59" hidden="1" customWidth="1"/>
    <col min="10520" max="10521" width="12.42578125" style="59" customWidth="1"/>
    <col min="10522" max="10522" width="12" style="59" customWidth="1"/>
    <col min="10523" max="10523" width="10.28515625" style="59" customWidth="1"/>
    <col min="10524" max="10524" width="14" style="59" customWidth="1"/>
    <col min="10525" max="10526" width="10.28515625" style="59" customWidth="1"/>
    <col min="10527" max="10527" width="12.7109375" style="59" customWidth="1"/>
    <col min="10528" max="10528" width="16.28515625" style="59" customWidth="1"/>
    <col min="10529" max="10760" width="9" style="59"/>
    <col min="10761" max="10761" width="6.85546875" style="59" customWidth="1"/>
    <col min="10762" max="10762" width="28.42578125" style="59" customWidth="1"/>
    <col min="10763" max="10763" width="7.7109375" style="59" customWidth="1"/>
    <col min="10764" max="10764" width="14.140625" style="59" customWidth="1"/>
    <col min="10765" max="10765" width="12" style="59" customWidth="1"/>
    <col min="10766" max="10766" width="13.7109375" style="59" customWidth="1"/>
    <col min="10767" max="10767" width="6.7109375" style="59" customWidth="1"/>
    <col min="10768" max="10768" width="11.7109375" style="59" customWidth="1"/>
    <col min="10769" max="10769" width="12.140625" style="59" customWidth="1"/>
    <col min="10770" max="10770" width="11.85546875" style="59" customWidth="1"/>
    <col min="10771" max="10771" width="13.85546875" style="59" customWidth="1"/>
    <col min="10772" max="10772" width="11.42578125" style="59" customWidth="1"/>
    <col min="10773" max="10773" width="12.7109375" style="59" customWidth="1"/>
    <col min="10774" max="10774" width="12.5703125" style="59" customWidth="1"/>
    <col min="10775" max="10775" width="9" style="59" hidden="1" customWidth="1"/>
    <col min="10776" max="10777" width="12.42578125" style="59" customWidth="1"/>
    <col min="10778" max="10778" width="12" style="59" customWidth="1"/>
    <col min="10779" max="10779" width="10.28515625" style="59" customWidth="1"/>
    <col min="10780" max="10780" width="14" style="59" customWidth="1"/>
    <col min="10781" max="10782" width="10.28515625" style="59" customWidth="1"/>
    <col min="10783" max="10783" width="12.7109375" style="59" customWidth="1"/>
    <col min="10784" max="10784" width="16.28515625" style="59" customWidth="1"/>
    <col min="10785" max="11016" width="9" style="59"/>
    <col min="11017" max="11017" width="6.85546875" style="59" customWidth="1"/>
    <col min="11018" max="11018" width="28.42578125" style="59" customWidth="1"/>
    <col min="11019" max="11019" width="7.7109375" style="59" customWidth="1"/>
    <col min="11020" max="11020" width="14.140625" style="59" customWidth="1"/>
    <col min="11021" max="11021" width="12" style="59" customWidth="1"/>
    <col min="11022" max="11022" width="13.7109375" style="59" customWidth="1"/>
    <col min="11023" max="11023" width="6.7109375" style="59" customWidth="1"/>
    <col min="11024" max="11024" width="11.7109375" style="59" customWidth="1"/>
    <col min="11025" max="11025" width="12.140625" style="59" customWidth="1"/>
    <col min="11026" max="11026" width="11.85546875" style="59" customWidth="1"/>
    <col min="11027" max="11027" width="13.85546875" style="59" customWidth="1"/>
    <col min="11028" max="11028" width="11.42578125" style="59" customWidth="1"/>
    <col min="11029" max="11029" width="12.7109375" style="59" customWidth="1"/>
    <col min="11030" max="11030" width="12.5703125" style="59" customWidth="1"/>
    <col min="11031" max="11031" width="9" style="59" hidden="1" customWidth="1"/>
    <col min="11032" max="11033" width="12.42578125" style="59" customWidth="1"/>
    <col min="11034" max="11034" width="12" style="59" customWidth="1"/>
    <col min="11035" max="11035" width="10.28515625" style="59" customWidth="1"/>
    <col min="11036" max="11036" width="14" style="59" customWidth="1"/>
    <col min="11037" max="11038" width="10.28515625" style="59" customWidth="1"/>
    <col min="11039" max="11039" width="12.7109375" style="59" customWidth="1"/>
    <col min="11040" max="11040" width="16.28515625" style="59" customWidth="1"/>
    <col min="11041" max="11272" width="9" style="59"/>
    <col min="11273" max="11273" width="6.85546875" style="59" customWidth="1"/>
    <col min="11274" max="11274" width="28.42578125" style="59" customWidth="1"/>
    <col min="11275" max="11275" width="7.7109375" style="59" customWidth="1"/>
    <col min="11276" max="11276" width="14.140625" style="59" customWidth="1"/>
    <col min="11277" max="11277" width="12" style="59" customWidth="1"/>
    <col min="11278" max="11278" width="13.7109375" style="59" customWidth="1"/>
    <col min="11279" max="11279" width="6.7109375" style="59" customWidth="1"/>
    <col min="11280" max="11280" width="11.7109375" style="59" customWidth="1"/>
    <col min="11281" max="11281" width="12.140625" style="59" customWidth="1"/>
    <col min="11282" max="11282" width="11.85546875" style="59" customWidth="1"/>
    <col min="11283" max="11283" width="13.85546875" style="59" customWidth="1"/>
    <col min="11284" max="11284" width="11.42578125" style="59" customWidth="1"/>
    <col min="11285" max="11285" width="12.7109375" style="59" customWidth="1"/>
    <col min="11286" max="11286" width="12.5703125" style="59" customWidth="1"/>
    <col min="11287" max="11287" width="9" style="59" hidden="1" customWidth="1"/>
    <col min="11288" max="11289" width="12.42578125" style="59" customWidth="1"/>
    <col min="11290" max="11290" width="12" style="59" customWidth="1"/>
    <col min="11291" max="11291" width="10.28515625" style="59" customWidth="1"/>
    <col min="11292" max="11292" width="14" style="59" customWidth="1"/>
    <col min="11293" max="11294" width="10.28515625" style="59" customWidth="1"/>
    <col min="11295" max="11295" width="12.7109375" style="59" customWidth="1"/>
    <col min="11296" max="11296" width="16.28515625" style="59" customWidth="1"/>
    <col min="11297" max="11528" width="9" style="59"/>
    <col min="11529" max="11529" width="6.85546875" style="59" customWidth="1"/>
    <col min="11530" max="11530" width="28.42578125" style="59" customWidth="1"/>
    <col min="11531" max="11531" width="7.7109375" style="59" customWidth="1"/>
    <col min="11532" max="11532" width="14.140625" style="59" customWidth="1"/>
    <col min="11533" max="11533" width="12" style="59" customWidth="1"/>
    <col min="11534" max="11534" width="13.7109375" style="59" customWidth="1"/>
    <col min="11535" max="11535" width="6.7109375" style="59" customWidth="1"/>
    <col min="11536" max="11536" width="11.7109375" style="59" customWidth="1"/>
    <col min="11537" max="11537" width="12.140625" style="59" customWidth="1"/>
    <col min="11538" max="11538" width="11.85546875" style="59" customWidth="1"/>
    <col min="11539" max="11539" width="13.85546875" style="59" customWidth="1"/>
    <col min="11540" max="11540" width="11.42578125" style="59" customWidth="1"/>
    <col min="11541" max="11541" width="12.7109375" style="59" customWidth="1"/>
    <col min="11542" max="11542" width="12.5703125" style="59" customWidth="1"/>
    <col min="11543" max="11543" width="9" style="59" hidden="1" customWidth="1"/>
    <col min="11544" max="11545" width="12.42578125" style="59" customWidth="1"/>
    <col min="11546" max="11546" width="12" style="59" customWidth="1"/>
    <col min="11547" max="11547" width="10.28515625" style="59" customWidth="1"/>
    <col min="11548" max="11548" width="14" style="59" customWidth="1"/>
    <col min="11549" max="11550" width="10.28515625" style="59" customWidth="1"/>
    <col min="11551" max="11551" width="12.7109375" style="59" customWidth="1"/>
    <col min="11552" max="11552" width="16.28515625" style="59" customWidth="1"/>
    <col min="11553" max="11784" width="9" style="59"/>
    <col min="11785" max="11785" width="6.85546875" style="59" customWidth="1"/>
    <col min="11786" max="11786" width="28.42578125" style="59" customWidth="1"/>
    <col min="11787" max="11787" width="7.7109375" style="59" customWidth="1"/>
    <col min="11788" max="11788" width="14.140625" style="59" customWidth="1"/>
    <col min="11789" max="11789" width="12" style="59" customWidth="1"/>
    <col min="11790" max="11790" width="13.7109375" style="59" customWidth="1"/>
    <col min="11791" max="11791" width="6.7109375" style="59" customWidth="1"/>
    <col min="11792" max="11792" width="11.7109375" style="59" customWidth="1"/>
    <col min="11793" max="11793" width="12.140625" style="59" customWidth="1"/>
    <col min="11794" max="11794" width="11.85546875" style="59" customWidth="1"/>
    <col min="11795" max="11795" width="13.85546875" style="59" customWidth="1"/>
    <col min="11796" max="11796" width="11.42578125" style="59" customWidth="1"/>
    <col min="11797" max="11797" width="12.7109375" style="59" customWidth="1"/>
    <col min="11798" max="11798" width="12.5703125" style="59" customWidth="1"/>
    <col min="11799" max="11799" width="9" style="59" hidden="1" customWidth="1"/>
    <col min="11800" max="11801" width="12.42578125" style="59" customWidth="1"/>
    <col min="11802" max="11802" width="12" style="59" customWidth="1"/>
    <col min="11803" max="11803" width="10.28515625" style="59" customWidth="1"/>
    <col min="11804" max="11804" width="14" style="59" customWidth="1"/>
    <col min="11805" max="11806" width="10.28515625" style="59" customWidth="1"/>
    <col min="11807" max="11807" width="12.7109375" style="59" customWidth="1"/>
    <col min="11808" max="11808" width="16.28515625" style="59" customWidth="1"/>
    <col min="11809" max="12040" width="9" style="59"/>
    <col min="12041" max="12041" width="6.85546875" style="59" customWidth="1"/>
    <col min="12042" max="12042" width="28.42578125" style="59" customWidth="1"/>
    <col min="12043" max="12043" width="7.7109375" style="59" customWidth="1"/>
    <col min="12044" max="12044" width="14.140625" style="59" customWidth="1"/>
    <col min="12045" max="12045" width="12" style="59" customWidth="1"/>
    <col min="12046" max="12046" width="13.7109375" style="59" customWidth="1"/>
    <col min="12047" max="12047" width="6.7109375" style="59" customWidth="1"/>
    <col min="12048" max="12048" width="11.7109375" style="59" customWidth="1"/>
    <col min="12049" max="12049" width="12.140625" style="59" customWidth="1"/>
    <col min="12050" max="12050" width="11.85546875" style="59" customWidth="1"/>
    <col min="12051" max="12051" width="13.85546875" style="59" customWidth="1"/>
    <col min="12052" max="12052" width="11.42578125" style="59" customWidth="1"/>
    <col min="12053" max="12053" width="12.7109375" style="59" customWidth="1"/>
    <col min="12054" max="12054" width="12.5703125" style="59" customWidth="1"/>
    <col min="12055" max="12055" width="9" style="59" hidden="1" customWidth="1"/>
    <col min="12056" max="12057" width="12.42578125" style="59" customWidth="1"/>
    <col min="12058" max="12058" width="12" style="59" customWidth="1"/>
    <col min="12059" max="12059" width="10.28515625" style="59" customWidth="1"/>
    <col min="12060" max="12060" width="14" style="59" customWidth="1"/>
    <col min="12061" max="12062" width="10.28515625" style="59" customWidth="1"/>
    <col min="12063" max="12063" width="12.7109375" style="59" customWidth="1"/>
    <col min="12064" max="12064" width="16.28515625" style="59" customWidth="1"/>
    <col min="12065" max="12296" width="9" style="59"/>
    <col min="12297" max="12297" width="6.85546875" style="59" customWidth="1"/>
    <col min="12298" max="12298" width="28.42578125" style="59" customWidth="1"/>
    <col min="12299" max="12299" width="7.7109375" style="59" customWidth="1"/>
    <col min="12300" max="12300" width="14.140625" style="59" customWidth="1"/>
    <col min="12301" max="12301" width="12" style="59" customWidth="1"/>
    <col min="12302" max="12302" width="13.7109375" style="59" customWidth="1"/>
    <col min="12303" max="12303" width="6.7109375" style="59" customWidth="1"/>
    <col min="12304" max="12304" width="11.7109375" style="59" customWidth="1"/>
    <col min="12305" max="12305" width="12.140625" style="59" customWidth="1"/>
    <col min="12306" max="12306" width="11.85546875" style="59" customWidth="1"/>
    <col min="12307" max="12307" width="13.85546875" style="59" customWidth="1"/>
    <col min="12308" max="12308" width="11.42578125" style="59" customWidth="1"/>
    <col min="12309" max="12309" width="12.7109375" style="59" customWidth="1"/>
    <col min="12310" max="12310" width="12.5703125" style="59" customWidth="1"/>
    <col min="12311" max="12311" width="9" style="59" hidden="1" customWidth="1"/>
    <col min="12312" max="12313" width="12.42578125" style="59" customWidth="1"/>
    <col min="12314" max="12314" width="12" style="59" customWidth="1"/>
    <col min="12315" max="12315" width="10.28515625" style="59" customWidth="1"/>
    <col min="12316" max="12316" width="14" style="59" customWidth="1"/>
    <col min="12317" max="12318" width="10.28515625" style="59" customWidth="1"/>
    <col min="12319" max="12319" width="12.7109375" style="59" customWidth="1"/>
    <col min="12320" max="12320" width="16.28515625" style="59" customWidth="1"/>
    <col min="12321" max="12552" width="9" style="59"/>
    <col min="12553" max="12553" width="6.85546875" style="59" customWidth="1"/>
    <col min="12554" max="12554" width="28.42578125" style="59" customWidth="1"/>
    <col min="12555" max="12555" width="7.7109375" style="59" customWidth="1"/>
    <col min="12556" max="12556" width="14.140625" style="59" customWidth="1"/>
    <col min="12557" max="12557" width="12" style="59" customWidth="1"/>
    <col min="12558" max="12558" width="13.7109375" style="59" customWidth="1"/>
    <col min="12559" max="12559" width="6.7109375" style="59" customWidth="1"/>
    <col min="12560" max="12560" width="11.7109375" style="59" customWidth="1"/>
    <col min="12561" max="12561" width="12.140625" style="59" customWidth="1"/>
    <col min="12562" max="12562" width="11.85546875" style="59" customWidth="1"/>
    <col min="12563" max="12563" width="13.85546875" style="59" customWidth="1"/>
    <col min="12564" max="12564" width="11.42578125" style="59" customWidth="1"/>
    <col min="12565" max="12565" width="12.7109375" style="59" customWidth="1"/>
    <col min="12566" max="12566" width="12.5703125" style="59" customWidth="1"/>
    <col min="12567" max="12567" width="9" style="59" hidden="1" customWidth="1"/>
    <col min="12568" max="12569" width="12.42578125" style="59" customWidth="1"/>
    <col min="12570" max="12570" width="12" style="59" customWidth="1"/>
    <col min="12571" max="12571" width="10.28515625" style="59" customWidth="1"/>
    <col min="12572" max="12572" width="14" style="59" customWidth="1"/>
    <col min="12573" max="12574" width="10.28515625" style="59" customWidth="1"/>
    <col min="12575" max="12575" width="12.7109375" style="59" customWidth="1"/>
    <col min="12576" max="12576" width="16.28515625" style="59" customWidth="1"/>
    <col min="12577" max="12808" width="9" style="59"/>
    <col min="12809" max="12809" width="6.85546875" style="59" customWidth="1"/>
    <col min="12810" max="12810" width="28.42578125" style="59" customWidth="1"/>
    <col min="12811" max="12811" width="7.7109375" style="59" customWidth="1"/>
    <col min="12812" max="12812" width="14.140625" style="59" customWidth="1"/>
    <col min="12813" max="12813" width="12" style="59" customWidth="1"/>
    <col min="12814" max="12814" width="13.7109375" style="59" customWidth="1"/>
    <col min="12815" max="12815" width="6.7109375" style="59" customWidth="1"/>
    <col min="12816" max="12816" width="11.7109375" style="59" customWidth="1"/>
    <col min="12817" max="12817" width="12.140625" style="59" customWidth="1"/>
    <col min="12818" max="12818" width="11.85546875" style="59" customWidth="1"/>
    <col min="12819" max="12819" width="13.85546875" style="59" customWidth="1"/>
    <col min="12820" max="12820" width="11.42578125" style="59" customWidth="1"/>
    <col min="12821" max="12821" width="12.7109375" style="59" customWidth="1"/>
    <col min="12822" max="12822" width="12.5703125" style="59" customWidth="1"/>
    <col min="12823" max="12823" width="9" style="59" hidden="1" customWidth="1"/>
    <col min="12824" max="12825" width="12.42578125" style="59" customWidth="1"/>
    <col min="12826" max="12826" width="12" style="59" customWidth="1"/>
    <col min="12827" max="12827" width="10.28515625" style="59" customWidth="1"/>
    <col min="12828" max="12828" width="14" style="59" customWidth="1"/>
    <col min="12829" max="12830" width="10.28515625" style="59" customWidth="1"/>
    <col min="12831" max="12831" width="12.7109375" style="59" customWidth="1"/>
    <col min="12832" max="12832" width="16.28515625" style="59" customWidth="1"/>
    <col min="12833" max="13064" width="9" style="59"/>
    <col min="13065" max="13065" width="6.85546875" style="59" customWidth="1"/>
    <col min="13066" max="13066" width="28.42578125" style="59" customWidth="1"/>
    <col min="13067" max="13067" width="7.7109375" style="59" customWidth="1"/>
    <col min="13068" max="13068" width="14.140625" style="59" customWidth="1"/>
    <col min="13069" max="13069" width="12" style="59" customWidth="1"/>
    <col min="13070" max="13070" width="13.7109375" style="59" customWidth="1"/>
    <col min="13071" max="13071" width="6.7109375" style="59" customWidth="1"/>
    <col min="13072" max="13072" width="11.7109375" style="59" customWidth="1"/>
    <col min="13073" max="13073" width="12.140625" style="59" customWidth="1"/>
    <col min="13074" max="13074" width="11.85546875" style="59" customWidth="1"/>
    <col min="13075" max="13075" width="13.85546875" style="59" customWidth="1"/>
    <col min="13076" max="13076" width="11.42578125" style="59" customWidth="1"/>
    <col min="13077" max="13077" width="12.7109375" style="59" customWidth="1"/>
    <col min="13078" max="13078" width="12.5703125" style="59" customWidth="1"/>
    <col min="13079" max="13079" width="9" style="59" hidden="1" customWidth="1"/>
    <col min="13080" max="13081" width="12.42578125" style="59" customWidth="1"/>
    <col min="13082" max="13082" width="12" style="59" customWidth="1"/>
    <col min="13083" max="13083" width="10.28515625" style="59" customWidth="1"/>
    <col min="13084" max="13084" width="14" style="59" customWidth="1"/>
    <col min="13085" max="13086" width="10.28515625" style="59" customWidth="1"/>
    <col min="13087" max="13087" width="12.7109375" style="59" customWidth="1"/>
    <col min="13088" max="13088" width="16.28515625" style="59" customWidth="1"/>
    <col min="13089" max="13320" width="9" style="59"/>
    <col min="13321" max="13321" width="6.85546875" style="59" customWidth="1"/>
    <col min="13322" max="13322" width="28.42578125" style="59" customWidth="1"/>
    <col min="13323" max="13323" width="7.7109375" style="59" customWidth="1"/>
    <col min="13324" max="13324" width="14.140625" style="59" customWidth="1"/>
    <col min="13325" max="13325" width="12" style="59" customWidth="1"/>
    <col min="13326" max="13326" width="13.7109375" style="59" customWidth="1"/>
    <col min="13327" max="13327" width="6.7109375" style="59" customWidth="1"/>
    <col min="13328" max="13328" width="11.7109375" style="59" customWidth="1"/>
    <col min="13329" max="13329" width="12.140625" style="59" customWidth="1"/>
    <col min="13330" max="13330" width="11.85546875" style="59" customWidth="1"/>
    <col min="13331" max="13331" width="13.85546875" style="59" customWidth="1"/>
    <col min="13332" max="13332" width="11.42578125" style="59" customWidth="1"/>
    <col min="13333" max="13333" width="12.7109375" style="59" customWidth="1"/>
    <col min="13334" max="13334" width="12.5703125" style="59" customWidth="1"/>
    <col min="13335" max="13335" width="9" style="59" hidden="1" customWidth="1"/>
    <col min="13336" max="13337" width="12.42578125" style="59" customWidth="1"/>
    <col min="13338" max="13338" width="12" style="59" customWidth="1"/>
    <col min="13339" max="13339" width="10.28515625" style="59" customWidth="1"/>
    <col min="13340" max="13340" width="14" style="59" customWidth="1"/>
    <col min="13341" max="13342" width="10.28515625" style="59" customWidth="1"/>
    <col min="13343" max="13343" width="12.7109375" style="59" customWidth="1"/>
    <col min="13344" max="13344" width="16.28515625" style="59" customWidth="1"/>
    <col min="13345" max="13576" width="9" style="59"/>
    <col min="13577" max="13577" width="6.85546875" style="59" customWidth="1"/>
    <col min="13578" max="13578" width="28.42578125" style="59" customWidth="1"/>
    <col min="13579" max="13579" width="7.7109375" style="59" customWidth="1"/>
    <col min="13580" max="13580" width="14.140625" style="59" customWidth="1"/>
    <col min="13581" max="13581" width="12" style="59" customWidth="1"/>
    <col min="13582" max="13582" width="13.7109375" style="59" customWidth="1"/>
    <col min="13583" max="13583" width="6.7109375" style="59" customWidth="1"/>
    <col min="13584" max="13584" width="11.7109375" style="59" customWidth="1"/>
    <col min="13585" max="13585" width="12.140625" style="59" customWidth="1"/>
    <col min="13586" max="13586" width="11.85546875" style="59" customWidth="1"/>
    <col min="13587" max="13587" width="13.85546875" style="59" customWidth="1"/>
    <col min="13588" max="13588" width="11.42578125" style="59" customWidth="1"/>
    <col min="13589" max="13589" width="12.7109375" style="59" customWidth="1"/>
    <col min="13590" max="13590" width="12.5703125" style="59" customWidth="1"/>
    <col min="13591" max="13591" width="9" style="59" hidden="1" customWidth="1"/>
    <col min="13592" max="13593" width="12.42578125" style="59" customWidth="1"/>
    <col min="13594" max="13594" width="12" style="59" customWidth="1"/>
    <col min="13595" max="13595" width="10.28515625" style="59" customWidth="1"/>
    <col min="13596" max="13596" width="14" style="59" customWidth="1"/>
    <col min="13597" max="13598" width="10.28515625" style="59" customWidth="1"/>
    <col min="13599" max="13599" width="12.7109375" style="59" customWidth="1"/>
    <col min="13600" max="13600" width="16.28515625" style="59" customWidth="1"/>
    <col min="13601" max="13832" width="9" style="59"/>
    <col min="13833" max="13833" width="6.85546875" style="59" customWidth="1"/>
    <col min="13834" max="13834" width="28.42578125" style="59" customWidth="1"/>
    <col min="13835" max="13835" width="7.7109375" style="59" customWidth="1"/>
    <col min="13836" max="13836" width="14.140625" style="59" customWidth="1"/>
    <col min="13837" max="13837" width="12" style="59" customWidth="1"/>
    <col min="13838" max="13838" width="13.7109375" style="59" customWidth="1"/>
    <col min="13839" max="13839" width="6.7109375" style="59" customWidth="1"/>
    <col min="13840" max="13840" width="11.7109375" style="59" customWidth="1"/>
    <col min="13841" max="13841" width="12.140625" style="59" customWidth="1"/>
    <col min="13842" max="13842" width="11.85546875" style="59" customWidth="1"/>
    <col min="13843" max="13843" width="13.85546875" style="59" customWidth="1"/>
    <col min="13844" max="13844" width="11.42578125" style="59" customWidth="1"/>
    <col min="13845" max="13845" width="12.7109375" style="59" customWidth="1"/>
    <col min="13846" max="13846" width="12.5703125" style="59" customWidth="1"/>
    <col min="13847" max="13847" width="9" style="59" hidden="1" customWidth="1"/>
    <col min="13848" max="13849" width="12.42578125" style="59" customWidth="1"/>
    <col min="13850" max="13850" width="12" style="59" customWidth="1"/>
    <col min="13851" max="13851" width="10.28515625" style="59" customWidth="1"/>
    <col min="13852" max="13852" width="14" style="59" customWidth="1"/>
    <col min="13853" max="13854" width="10.28515625" style="59" customWidth="1"/>
    <col min="13855" max="13855" width="12.7109375" style="59" customWidth="1"/>
    <col min="13856" max="13856" width="16.28515625" style="59" customWidth="1"/>
    <col min="13857" max="14088" width="9" style="59"/>
    <col min="14089" max="14089" width="6.85546875" style="59" customWidth="1"/>
    <col min="14090" max="14090" width="28.42578125" style="59" customWidth="1"/>
    <col min="14091" max="14091" width="7.7109375" style="59" customWidth="1"/>
    <col min="14092" max="14092" width="14.140625" style="59" customWidth="1"/>
    <col min="14093" max="14093" width="12" style="59" customWidth="1"/>
    <col min="14094" max="14094" width="13.7109375" style="59" customWidth="1"/>
    <col min="14095" max="14095" width="6.7109375" style="59" customWidth="1"/>
    <col min="14096" max="14096" width="11.7109375" style="59" customWidth="1"/>
    <col min="14097" max="14097" width="12.140625" style="59" customWidth="1"/>
    <col min="14098" max="14098" width="11.85546875" style="59" customWidth="1"/>
    <col min="14099" max="14099" width="13.85546875" style="59" customWidth="1"/>
    <col min="14100" max="14100" width="11.42578125" style="59" customWidth="1"/>
    <col min="14101" max="14101" width="12.7109375" style="59" customWidth="1"/>
    <col min="14102" max="14102" width="12.5703125" style="59" customWidth="1"/>
    <col min="14103" max="14103" width="9" style="59" hidden="1" customWidth="1"/>
    <col min="14104" max="14105" width="12.42578125" style="59" customWidth="1"/>
    <col min="14106" max="14106" width="12" style="59" customWidth="1"/>
    <col min="14107" max="14107" width="10.28515625" style="59" customWidth="1"/>
    <col min="14108" max="14108" width="14" style="59" customWidth="1"/>
    <col min="14109" max="14110" width="10.28515625" style="59" customWidth="1"/>
    <col min="14111" max="14111" width="12.7109375" style="59" customWidth="1"/>
    <col min="14112" max="14112" width="16.28515625" style="59" customWidth="1"/>
    <col min="14113" max="14344" width="9" style="59"/>
    <col min="14345" max="14345" width="6.85546875" style="59" customWidth="1"/>
    <col min="14346" max="14346" width="28.42578125" style="59" customWidth="1"/>
    <col min="14347" max="14347" width="7.7109375" style="59" customWidth="1"/>
    <col min="14348" max="14348" width="14.140625" style="59" customWidth="1"/>
    <col min="14349" max="14349" width="12" style="59" customWidth="1"/>
    <col min="14350" max="14350" width="13.7109375" style="59" customWidth="1"/>
    <col min="14351" max="14351" width="6.7109375" style="59" customWidth="1"/>
    <col min="14352" max="14352" width="11.7109375" style="59" customWidth="1"/>
    <col min="14353" max="14353" width="12.140625" style="59" customWidth="1"/>
    <col min="14354" max="14354" width="11.85546875" style="59" customWidth="1"/>
    <col min="14355" max="14355" width="13.85546875" style="59" customWidth="1"/>
    <col min="14356" max="14356" width="11.42578125" style="59" customWidth="1"/>
    <col min="14357" max="14357" width="12.7109375" style="59" customWidth="1"/>
    <col min="14358" max="14358" width="12.5703125" style="59" customWidth="1"/>
    <col min="14359" max="14359" width="9" style="59" hidden="1" customWidth="1"/>
    <col min="14360" max="14361" width="12.42578125" style="59" customWidth="1"/>
    <col min="14362" max="14362" width="12" style="59" customWidth="1"/>
    <col min="14363" max="14363" width="10.28515625" style="59" customWidth="1"/>
    <col min="14364" max="14364" width="14" style="59" customWidth="1"/>
    <col min="14365" max="14366" width="10.28515625" style="59" customWidth="1"/>
    <col min="14367" max="14367" width="12.7109375" style="59" customWidth="1"/>
    <col min="14368" max="14368" width="16.28515625" style="59" customWidth="1"/>
    <col min="14369" max="14600" width="9" style="59"/>
    <col min="14601" max="14601" width="6.85546875" style="59" customWidth="1"/>
    <col min="14602" max="14602" width="28.42578125" style="59" customWidth="1"/>
    <col min="14603" max="14603" width="7.7109375" style="59" customWidth="1"/>
    <col min="14604" max="14604" width="14.140625" style="59" customWidth="1"/>
    <col min="14605" max="14605" width="12" style="59" customWidth="1"/>
    <col min="14606" max="14606" width="13.7109375" style="59" customWidth="1"/>
    <col min="14607" max="14607" width="6.7109375" style="59" customWidth="1"/>
    <col min="14608" max="14608" width="11.7109375" style="59" customWidth="1"/>
    <col min="14609" max="14609" width="12.140625" style="59" customWidth="1"/>
    <col min="14610" max="14610" width="11.85546875" style="59" customWidth="1"/>
    <col min="14611" max="14611" width="13.85546875" style="59" customWidth="1"/>
    <col min="14612" max="14612" width="11.42578125" style="59" customWidth="1"/>
    <col min="14613" max="14613" width="12.7109375" style="59" customWidth="1"/>
    <col min="14614" max="14614" width="12.5703125" style="59" customWidth="1"/>
    <col min="14615" max="14615" width="9" style="59" hidden="1" customWidth="1"/>
    <col min="14616" max="14617" width="12.42578125" style="59" customWidth="1"/>
    <col min="14618" max="14618" width="12" style="59" customWidth="1"/>
    <col min="14619" max="14619" width="10.28515625" style="59" customWidth="1"/>
    <col min="14620" max="14620" width="14" style="59" customWidth="1"/>
    <col min="14621" max="14622" width="10.28515625" style="59" customWidth="1"/>
    <col min="14623" max="14623" width="12.7109375" style="59" customWidth="1"/>
    <col min="14624" max="14624" width="16.28515625" style="59" customWidth="1"/>
    <col min="14625" max="14856" width="9" style="59"/>
    <col min="14857" max="14857" width="6.85546875" style="59" customWidth="1"/>
    <col min="14858" max="14858" width="28.42578125" style="59" customWidth="1"/>
    <col min="14859" max="14859" width="7.7109375" style="59" customWidth="1"/>
    <col min="14860" max="14860" width="14.140625" style="59" customWidth="1"/>
    <col min="14861" max="14861" width="12" style="59" customWidth="1"/>
    <col min="14862" max="14862" width="13.7109375" style="59" customWidth="1"/>
    <col min="14863" max="14863" width="6.7109375" style="59" customWidth="1"/>
    <col min="14864" max="14864" width="11.7109375" style="59" customWidth="1"/>
    <col min="14865" max="14865" width="12.140625" style="59" customWidth="1"/>
    <col min="14866" max="14866" width="11.85546875" style="59" customWidth="1"/>
    <col min="14867" max="14867" width="13.85546875" style="59" customWidth="1"/>
    <col min="14868" max="14868" width="11.42578125" style="59" customWidth="1"/>
    <col min="14869" max="14869" width="12.7109375" style="59" customWidth="1"/>
    <col min="14870" max="14870" width="12.5703125" style="59" customWidth="1"/>
    <col min="14871" max="14871" width="9" style="59" hidden="1" customWidth="1"/>
    <col min="14872" max="14873" width="12.42578125" style="59" customWidth="1"/>
    <col min="14874" max="14874" width="12" style="59" customWidth="1"/>
    <col min="14875" max="14875" width="10.28515625" style="59" customWidth="1"/>
    <col min="14876" max="14876" width="14" style="59" customWidth="1"/>
    <col min="14877" max="14878" width="10.28515625" style="59" customWidth="1"/>
    <col min="14879" max="14879" width="12.7109375" style="59" customWidth="1"/>
    <col min="14880" max="14880" width="16.28515625" style="59" customWidth="1"/>
    <col min="14881" max="15112" width="9" style="59"/>
    <col min="15113" max="15113" width="6.85546875" style="59" customWidth="1"/>
    <col min="15114" max="15114" width="28.42578125" style="59" customWidth="1"/>
    <col min="15115" max="15115" width="7.7109375" style="59" customWidth="1"/>
    <col min="15116" max="15116" width="14.140625" style="59" customWidth="1"/>
    <col min="15117" max="15117" width="12" style="59" customWidth="1"/>
    <col min="15118" max="15118" width="13.7109375" style="59" customWidth="1"/>
    <col min="15119" max="15119" width="6.7109375" style="59" customWidth="1"/>
    <col min="15120" max="15120" width="11.7109375" style="59" customWidth="1"/>
    <col min="15121" max="15121" width="12.140625" style="59" customWidth="1"/>
    <col min="15122" max="15122" width="11.85546875" style="59" customWidth="1"/>
    <col min="15123" max="15123" width="13.85546875" style="59" customWidth="1"/>
    <col min="15124" max="15124" width="11.42578125" style="59" customWidth="1"/>
    <col min="15125" max="15125" width="12.7109375" style="59" customWidth="1"/>
    <col min="15126" max="15126" width="12.5703125" style="59" customWidth="1"/>
    <col min="15127" max="15127" width="9" style="59" hidden="1" customWidth="1"/>
    <col min="15128" max="15129" width="12.42578125" style="59" customWidth="1"/>
    <col min="15130" max="15130" width="12" style="59" customWidth="1"/>
    <col min="15131" max="15131" width="10.28515625" style="59" customWidth="1"/>
    <col min="15132" max="15132" width="14" style="59" customWidth="1"/>
    <col min="15133" max="15134" width="10.28515625" style="59" customWidth="1"/>
    <col min="15135" max="15135" width="12.7109375" style="59" customWidth="1"/>
    <col min="15136" max="15136" width="16.28515625" style="59" customWidth="1"/>
    <col min="15137" max="15368" width="9" style="59"/>
    <col min="15369" max="15369" width="6.85546875" style="59" customWidth="1"/>
    <col min="15370" max="15370" width="28.42578125" style="59" customWidth="1"/>
    <col min="15371" max="15371" width="7.7109375" style="59" customWidth="1"/>
    <col min="15372" max="15372" width="14.140625" style="59" customWidth="1"/>
    <col min="15373" max="15373" width="12" style="59" customWidth="1"/>
    <col min="15374" max="15374" width="13.7109375" style="59" customWidth="1"/>
    <col min="15375" max="15375" width="6.7109375" style="59" customWidth="1"/>
    <col min="15376" max="15376" width="11.7109375" style="59" customWidth="1"/>
    <col min="15377" max="15377" width="12.140625" style="59" customWidth="1"/>
    <col min="15378" max="15378" width="11.85546875" style="59" customWidth="1"/>
    <col min="15379" max="15379" width="13.85546875" style="59" customWidth="1"/>
    <col min="15380" max="15380" width="11.42578125" style="59" customWidth="1"/>
    <col min="15381" max="15381" width="12.7109375" style="59" customWidth="1"/>
    <col min="15382" max="15382" width="12.5703125" style="59" customWidth="1"/>
    <col min="15383" max="15383" width="9" style="59" hidden="1" customWidth="1"/>
    <col min="15384" max="15385" width="12.42578125" style="59" customWidth="1"/>
    <col min="15386" max="15386" width="12" style="59" customWidth="1"/>
    <col min="15387" max="15387" width="10.28515625" style="59" customWidth="1"/>
    <col min="15388" max="15388" width="14" style="59" customWidth="1"/>
    <col min="15389" max="15390" width="10.28515625" style="59" customWidth="1"/>
    <col min="15391" max="15391" width="12.7109375" style="59" customWidth="1"/>
    <col min="15392" max="15392" width="16.28515625" style="59" customWidth="1"/>
    <col min="15393" max="15624" width="9" style="59"/>
    <col min="15625" max="15625" width="6.85546875" style="59" customWidth="1"/>
    <col min="15626" max="15626" width="28.42578125" style="59" customWidth="1"/>
    <col min="15627" max="15627" width="7.7109375" style="59" customWidth="1"/>
    <col min="15628" max="15628" width="14.140625" style="59" customWidth="1"/>
    <col min="15629" max="15629" width="12" style="59" customWidth="1"/>
    <col min="15630" max="15630" width="13.7109375" style="59" customWidth="1"/>
    <col min="15631" max="15631" width="6.7109375" style="59" customWidth="1"/>
    <col min="15632" max="15632" width="11.7109375" style="59" customWidth="1"/>
    <col min="15633" max="15633" width="12.140625" style="59" customWidth="1"/>
    <col min="15634" max="15634" width="11.85546875" style="59" customWidth="1"/>
    <col min="15635" max="15635" width="13.85546875" style="59" customWidth="1"/>
    <col min="15636" max="15636" width="11.42578125" style="59" customWidth="1"/>
    <col min="15637" max="15637" width="12.7109375" style="59" customWidth="1"/>
    <col min="15638" max="15638" width="12.5703125" style="59" customWidth="1"/>
    <col min="15639" max="15639" width="9" style="59" hidden="1" customWidth="1"/>
    <col min="15640" max="15641" width="12.42578125" style="59" customWidth="1"/>
    <col min="15642" max="15642" width="12" style="59" customWidth="1"/>
    <col min="15643" max="15643" width="10.28515625" style="59" customWidth="1"/>
    <col min="15644" max="15644" width="14" style="59" customWidth="1"/>
    <col min="15645" max="15646" width="10.28515625" style="59" customWidth="1"/>
    <col min="15647" max="15647" width="12.7109375" style="59" customWidth="1"/>
    <col min="15648" max="15648" width="16.28515625" style="59" customWidth="1"/>
    <col min="15649" max="15880" width="9" style="59"/>
    <col min="15881" max="15881" width="6.85546875" style="59" customWidth="1"/>
    <col min="15882" max="15882" width="28.42578125" style="59" customWidth="1"/>
    <col min="15883" max="15883" width="7.7109375" style="59" customWidth="1"/>
    <col min="15884" max="15884" width="14.140625" style="59" customWidth="1"/>
    <col min="15885" max="15885" width="12" style="59" customWidth="1"/>
    <col min="15886" max="15886" width="13.7109375" style="59" customWidth="1"/>
    <col min="15887" max="15887" width="6.7109375" style="59" customWidth="1"/>
    <col min="15888" max="15888" width="11.7109375" style="59" customWidth="1"/>
    <col min="15889" max="15889" width="12.140625" style="59" customWidth="1"/>
    <col min="15890" max="15890" width="11.85546875" style="59" customWidth="1"/>
    <col min="15891" max="15891" width="13.85546875" style="59" customWidth="1"/>
    <col min="15892" max="15892" width="11.42578125" style="59" customWidth="1"/>
    <col min="15893" max="15893" width="12.7109375" style="59" customWidth="1"/>
    <col min="15894" max="15894" width="12.5703125" style="59" customWidth="1"/>
    <col min="15895" max="15895" width="9" style="59" hidden="1" customWidth="1"/>
    <col min="15896" max="15897" width="12.42578125" style="59" customWidth="1"/>
    <col min="15898" max="15898" width="12" style="59" customWidth="1"/>
    <col min="15899" max="15899" width="10.28515625" style="59" customWidth="1"/>
    <col min="15900" max="15900" width="14" style="59" customWidth="1"/>
    <col min="15901" max="15902" width="10.28515625" style="59" customWidth="1"/>
    <col min="15903" max="15903" width="12.7109375" style="59" customWidth="1"/>
    <col min="15904" max="15904" width="16.28515625" style="59" customWidth="1"/>
    <col min="15905" max="16136" width="9" style="59"/>
    <col min="16137" max="16137" width="6.85546875" style="59" customWidth="1"/>
    <col min="16138" max="16138" width="28.42578125" style="59" customWidth="1"/>
    <col min="16139" max="16139" width="7.7109375" style="59" customWidth="1"/>
    <col min="16140" max="16140" width="14.140625" style="59" customWidth="1"/>
    <col min="16141" max="16141" width="12" style="59" customWidth="1"/>
    <col min="16142" max="16142" width="13.7109375" style="59" customWidth="1"/>
    <col min="16143" max="16143" width="6.7109375" style="59" customWidth="1"/>
    <col min="16144" max="16144" width="11.7109375" style="59" customWidth="1"/>
    <col min="16145" max="16145" width="12.140625" style="59" customWidth="1"/>
    <col min="16146" max="16146" width="11.85546875" style="59" customWidth="1"/>
    <col min="16147" max="16147" width="13.85546875" style="59" customWidth="1"/>
    <col min="16148" max="16148" width="11.42578125" style="59" customWidth="1"/>
    <col min="16149" max="16149" width="12.7109375" style="59" customWidth="1"/>
    <col min="16150" max="16150" width="12.5703125" style="59" customWidth="1"/>
    <col min="16151" max="16151" width="9" style="59" hidden="1" customWidth="1"/>
    <col min="16152" max="16153" width="12.42578125" style="59" customWidth="1"/>
    <col min="16154" max="16154" width="12" style="59" customWidth="1"/>
    <col min="16155" max="16155" width="10.28515625" style="59" customWidth="1"/>
    <col min="16156" max="16156" width="14" style="59" customWidth="1"/>
    <col min="16157" max="16158" width="10.28515625" style="59" customWidth="1"/>
    <col min="16159" max="16159" width="12.7109375" style="59" customWidth="1"/>
    <col min="16160" max="16160" width="16.28515625" style="59" customWidth="1"/>
    <col min="16161" max="16384" width="9" style="59"/>
  </cols>
  <sheetData>
    <row r="1" spans="1:35" s="51" customFormat="1" ht="14.25">
      <c r="A1" s="51" t="s">
        <v>20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AE1" s="54"/>
      <c r="AF1" s="54"/>
    </row>
    <row r="2" spans="1:35" s="51" customFormat="1" ht="14.25">
      <c r="A2" s="51" t="s">
        <v>21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54"/>
      <c r="AF2" s="54"/>
    </row>
    <row r="3" spans="1:35" s="51" customFormat="1" ht="14.25"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AE3" s="54"/>
      <c r="AF3" s="54"/>
      <c r="AG3" s="55"/>
    </row>
    <row r="4" spans="1:35" s="51" customFormat="1" ht="14.25"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AE4" s="54"/>
      <c r="AF4" s="54"/>
      <c r="AG4" s="56"/>
    </row>
    <row r="5" spans="1:35" s="57" customFormat="1" ht="24" customHeight="1">
      <c r="E5" s="320" t="s">
        <v>97</v>
      </c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</row>
    <row r="6" spans="1:35" s="51" customFormat="1" ht="23.25" customHeight="1"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315" t="s">
        <v>127</v>
      </c>
      <c r="S6" s="315"/>
      <c r="T6" s="315"/>
      <c r="U6" s="315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</row>
    <row r="7" spans="1:35" ht="20.25" customHeight="1">
      <c r="A7" s="78"/>
      <c r="B7" s="78"/>
      <c r="C7" s="329" t="s">
        <v>58</v>
      </c>
      <c r="D7" s="329"/>
      <c r="E7" s="196">
        <v>27</v>
      </c>
      <c r="F7" s="17"/>
      <c r="G7" s="17"/>
      <c r="H7" s="17"/>
      <c r="I7" s="17"/>
      <c r="J7" s="17"/>
      <c r="K7" s="17"/>
      <c r="L7" s="17"/>
      <c r="M7" s="17"/>
      <c r="N7" s="17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8"/>
      <c r="AA7" s="78"/>
      <c r="AB7" s="78"/>
      <c r="AC7" s="78"/>
      <c r="AD7" s="78"/>
      <c r="AE7" s="80"/>
      <c r="AF7" s="80"/>
      <c r="AG7" s="78"/>
    </row>
    <row r="8" spans="1:35" s="73" customFormat="1" ht="34.5" customHeight="1">
      <c r="A8" s="322" t="s">
        <v>0</v>
      </c>
      <c r="B8" s="326" t="s">
        <v>77</v>
      </c>
      <c r="C8" s="322" t="s">
        <v>59</v>
      </c>
      <c r="D8" s="323" t="s">
        <v>60</v>
      </c>
      <c r="E8" s="317" t="s">
        <v>2</v>
      </c>
      <c r="F8" s="317" t="s">
        <v>61</v>
      </c>
      <c r="G8" s="317" t="s">
        <v>74</v>
      </c>
      <c r="H8" s="317" t="s">
        <v>75</v>
      </c>
      <c r="I8" s="317" t="s">
        <v>91</v>
      </c>
      <c r="J8" s="317" t="s">
        <v>62</v>
      </c>
      <c r="K8" s="316" t="s">
        <v>106</v>
      </c>
      <c r="L8" s="316" t="s">
        <v>76</v>
      </c>
      <c r="M8" s="316" t="s">
        <v>63</v>
      </c>
      <c r="N8" s="316" t="s">
        <v>88</v>
      </c>
      <c r="O8" s="316" t="s">
        <v>89</v>
      </c>
      <c r="P8" s="316" t="s">
        <v>90</v>
      </c>
      <c r="Q8" s="314" t="s">
        <v>104</v>
      </c>
      <c r="R8" s="316" t="s">
        <v>40</v>
      </c>
      <c r="S8" s="316" t="s">
        <v>64</v>
      </c>
      <c r="T8" s="318" t="s">
        <v>65</v>
      </c>
      <c r="U8" s="316" t="s">
        <v>66</v>
      </c>
      <c r="V8" s="316" t="s">
        <v>119</v>
      </c>
      <c r="W8" s="316" t="s">
        <v>112</v>
      </c>
      <c r="X8" s="316" t="s">
        <v>111</v>
      </c>
      <c r="Y8" s="316" t="s">
        <v>67</v>
      </c>
      <c r="Z8" s="316" t="s">
        <v>68</v>
      </c>
      <c r="AA8" s="318" t="s">
        <v>69</v>
      </c>
      <c r="AB8" s="316" t="s">
        <v>70</v>
      </c>
      <c r="AC8" s="316" t="s">
        <v>85</v>
      </c>
      <c r="AD8" s="318" t="s">
        <v>71</v>
      </c>
      <c r="AE8" s="318" t="s">
        <v>72</v>
      </c>
      <c r="AF8" s="318" t="s">
        <v>110</v>
      </c>
      <c r="AG8" s="316" t="s">
        <v>73</v>
      </c>
      <c r="AH8" s="316" t="s">
        <v>92</v>
      </c>
      <c r="AI8" s="316" t="s">
        <v>93</v>
      </c>
    </row>
    <row r="9" spans="1:35" s="73" customFormat="1" ht="34.5" customHeight="1">
      <c r="A9" s="322"/>
      <c r="B9" s="327"/>
      <c r="C9" s="322"/>
      <c r="D9" s="324"/>
      <c r="E9" s="317"/>
      <c r="F9" s="317"/>
      <c r="G9" s="317"/>
      <c r="H9" s="317"/>
      <c r="I9" s="317"/>
      <c r="J9" s="317"/>
      <c r="K9" s="316"/>
      <c r="L9" s="316"/>
      <c r="M9" s="316"/>
      <c r="N9" s="316"/>
      <c r="O9" s="316"/>
      <c r="P9" s="316"/>
      <c r="Q9" s="314"/>
      <c r="R9" s="316"/>
      <c r="S9" s="316"/>
      <c r="T9" s="319"/>
      <c r="U9" s="316"/>
      <c r="V9" s="316"/>
      <c r="W9" s="316"/>
      <c r="X9" s="316"/>
      <c r="Y9" s="316"/>
      <c r="Z9" s="316"/>
      <c r="AA9" s="319"/>
      <c r="AB9" s="316"/>
      <c r="AC9" s="316"/>
      <c r="AD9" s="319"/>
      <c r="AE9" s="319"/>
      <c r="AF9" s="321"/>
      <c r="AG9" s="316"/>
      <c r="AH9" s="316"/>
      <c r="AI9" s="316"/>
    </row>
    <row r="10" spans="1:35" s="77" customFormat="1" ht="24.75" customHeight="1">
      <c r="A10" s="322"/>
      <c r="B10" s="328"/>
      <c r="C10" s="322"/>
      <c r="D10" s="325"/>
      <c r="E10" s="74"/>
      <c r="F10" s="75"/>
      <c r="G10" s="75"/>
      <c r="H10" s="75"/>
      <c r="I10" s="75"/>
      <c r="J10" s="75"/>
      <c r="K10" s="76">
        <v>1</v>
      </c>
      <c r="L10" s="75">
        <v>2</v>
      </c>
      <c r="M10" s="75">
        <v>4</v>
      </c>
      <c r="N10" s="76">
        <v>5</v>
      </c>
      <c r="O10" s="75">
        <v>6</v>
      </c>
      <c r="P10" s="131">
        <v>7</v>
      </c>
      <c r="Q10" s="75">
        <v>8</v>
      </c>
      <c r="R10" s="180">
        <v>9</v>
      </c>
      <c r="S10" s="75">
        <v>10</v>
      </c>
      <c r="T10" s="180">
        <v>11</v>
      </c>
      <c r="U10" s="75">
        <v>12</v>
      </c>
      <c r="V10" s="180">
        <v>13</v>
      </c>
      <c r="W10" s="75">
        <v>14</v>
      </c>
      <c r="X10" s="180">
        <v>15</v>
      </c>
      <c r="Y10" s="75">
        <v>16</v>
      </c>
      <c r="Z10" s="180">
        <v>17</v>
      </c>
      <c r="AA10" s="75">
        <v>18</v>
      </c>
      <c r="AB10" s="180">
        <v>19</v>
      </c>
      <c r="AC10" s="75">
        <v>20</v>
      </c>
      <c r="AD10" s="180">
        <v>21</v>
      </c>
      <c r="AE10" s="75">
        <v>22</v>
      </c>
      <c r="AF10" s="180">
        <v>23</v>
      </c>
      <c r="AG10" s="75">
        <v>24</v>
      </c>
      <c r="AH10" s="180">
        <v>25</v>
      </c>
      <c r="AI10" s="75">
        <v>26</v>
      </c>
    </row>
    <row r="11" spans="1:35" s="174" customFormat="1" ht="39" customHeight="1">
      <c r="A11" s="170">
        <v>1</v>
      </c>
      <c r="B11" s="171" t="s">
        <v>78</v>
      </c>
      <c r="C11" s="172" t="s">
        <v>79</v>
      </c>
      <c r="D11" s="173">
        <v>43818</v>
      </c>
      <c r="E11" s="171" t="s">
        <v>82</v>
      </c>
      <c r="F11" s="171">
        <f>$E$7</f>
        <v>27</v>
      </c>
      <c r="G11" s="149">
        <f>VLOOKUP(C11,'BẢNG CÔNG '!$B$5:$AN$99,39,FALSE)-H11-I11</f>
        <v>27</v>
      </c>
      <c r="H11" s="150"/>
      <c r="I11" s="150">
        <f>VLOOKUP(C11,'BẢNG CÔNG '!$B$5:$AK$9,36,FALSE)/8</f>
        <v>0</v>
      </c>
      <c r="J11" s="151">
        <f t="shared" ref="J11" si="0">H11+G11+I11</f>
        <v>27</v>
      </c>
      <c r="K11" s="152">
        <v>5860000</v>
      </c>
      <c r="L11" s="152">
        <v>2400000</v>
      </c>
      <c r="M11" s="127">
        <f>SUM(K11:L11)</f>
        <v>8260000</v>
      </c>
      <c r="N11" s="146">
        <f>M11/F11*G11</f>
        <v>8259999.9999999991</v>
      </c>
      <c r="O11" s="146">
        <f>85%*M11/F11*H11</f>
        <v>0</v>
      </c>
      <c r="P11" s="146">
        <f>K11/$E$7*I11</f>
        <v>0</v>
      </c>
      <c r="Q11" s="146">
        <f>K11/F11*VLOOKUP(C11,'BẢNG CÔNG '!$B$5:$AL$9,37,FALSE)*300%</f>
        <v>0</v>
      </c>
      <c r="R11" s="145">
        <f>VLOOKUP(C11,'BẢNG CÔNG '!$B$5:$AP$100,41,FALSE)</f>
        <v>350000</v>
      </c>
      <c r="S11" s="145">
        <f>VLOOKUP(C11,'HOA HỒNG '!$B$11:$J$98,9,FALSE)</f>
        <v>3381516.0000000005</v>
      </c>
      <c r="T11" s="160">
        <f>VLOOKUP(B11,[1]Lương!$C$13:$BK$228,37,FALSE)</f>
        <v>0</v>
      </c>
      <c r="U11" s="146">
        <f>VLOOKUP(C11,'TĂNG CA'!$B$5:$AR$9,43,FALSE)</f>
        <v>1424305.5555555555</v>
      </c>
      <c r="V11" s="160">
        <f>IFERROR(VLOOKUP(B11,[1]Lương!$C$1:$BK$1007,38,FALSE),0)</f>
        <v>0</v>
      </c>
      <c r="W11" s="160">
        <f>VLOOKUP(B11,[1]Lương!$C$9:$BF$141,39,FALSE)</f>
        <v>0</v>
      </c>
      <c r="X11" s="160">
        <f>VLOOKUP(B11,[1]Lương!$C$9:$BF$141,40,FALSE)</f>
        <v>0</v>
      </c>
      <c r="Y11" s="146">
        <f t="shared" ref="Y11" si="1">SUM(N11:X11)</f>
        <v>13415821.555555556</v>
      </c>
      <c r="Z11" s="160">
        <f>VLOOKUP(B11,[1]Lương!$C$9:$BF$141,43,FALSE)</f>
        <v>615300</v>
      </c>
      <c r="AA11" s="160">
        <f>VLOOKUP(B11,[1]Lương!$C$9:$BF$141,45,FALSE)</f>
        <v>29300</v>
      </c>
      <c r="AB11" s="160">
        <f>VLOOKUP(B11,[1]Lương!$C$9:$BF$141,50,FALSE)</f>
        <v>0</v>
      </c>
      <c r="AC11" s="160">
        <f>VLOOKUP(B11,[1]Lương!$C$9:$BF$141,51,FALSE)</f>
        <v>0</v>
      </c>
      <c r="AD11" s="147">
        <f>VLOOKUP(B11,[1]Lương!$C$9:$BF$141,52,FALSE)</f>
        <v>0</v>
      </c>
      <c r="AE11" s="159">
        <f t="shared" ref="AE11" si="2">SUM(Z11:AD11)</f>
        <v>644600</v>
      </c>
      <c r="AF11" s="161">
        <v>0</v>
      </c>
      <c r="AG11" s="148">
        <f t="shared" ref="AG11" si="3">ROUND((Y11-AE11+AF11),0)</f>
        <v>12771222</v>
      </c>
      <c r="AH11" s="148">
        <f>AG11-T11-V11</f>
        <v>12771222</v>
      </c>
      <c r="AI11" s="148"/>
    </row>
    <row r="12" spans="1:35" s="174" customFormat="1" ht="39" customHeight="1">
      <c r="A12" s="170">
        <v>2</v>
      </c>
      <c r="B12" s="81" t="s">
        <v>80</v>
      </c>
      <c r="C12" s="82" t="s">
        <v>81</v>
      </c>
      <c r="D12" s="173">
        <v>44550</v>
      </c>
      <c r="E12" s="81" t="s">
        <v>83</v>
      </c>
      <c r="F12" s="171">
        <f t="shared" ref="F12:F15" si="4">$E$7</f>
        <v>27</v>
      </c>
      <c r="G12" s="149">
        <f>VLOOKUP(C12,'BẢNG CÔNG '!$B$5:$AN$99,39,FALSE)-H12-I12</f>
        <v>27</v>
      </c>
      <c r="H12" s="150"/>
      <c r="I12" s="150">
        <f>VLOOKUP(C12,'BẢNG CÔNG '!$B$7:$AK$9,36,FALSE)/8</f>
        <v>0</v>
      </c>
      <c r="J12" s="151">
        <f t="shared" ref="J12" si="5">H12+G12+I12</f>
        <v>27</v>
      </c>
      <c r="K12" s="152">
        <v>5310000</v>
      </c>
      <c r="L12" s="152">
        <v>1000000</v>
      </c>
      <c r="M12" s="127">
        <f t="shared" ref="M12" si="6">SUM(K12:L12)</f>
        <v>6310000</v>
      </c>
      <c r="N12" s="146">
        <f t="shared" ref="N12" si="7">M12/F12*G12</f>
        <v>6310000</v>
      </c>
      <c r="O12" s="146">
        <f t="shared" ref="O12" si="8">85%*M12/F12*H12</f>
        <v>0</v>
      </c>
      <c r="P12" s="146">
        <f t="shared" ref="P12:P13" si="9">K12/$E$7*I12</f>
        <v>0</v>
      </c>
      <c r="Q12" s="146">
        <f>K12/F12*VLOOKUP(C12,'BẢNG CÔNG '!$B$7:$AL$9,37,FALSE)*300%</f>
        <v>0</v>
      </c>
      <c r="R12" s="145">
        <f>VLOOKUP(C12,'BẢNG CÔNG '!$B$7:$AP$100,41,FALSE)</f>
        <v>350000</v>
      </c>
      <c r="S12" s="145" t="e">
        <f>VLOOKUP(C12,'HOA HỒNG '!$B$11:$J$98,9,FALSE)</f>
        <v>#DIV/0!</v>
      </c>
      <c r="T12" s="160">
        <f>VLOOKUP(B12,[1]Lương!$C$13:$BK$228,37,FALSE)</f>
        <v>0</v>
      </c>
      <c r="U12" s="146">
        <f>VLOOKUP(C12,'TĂNG CA'!$B$7:$AR$9,43,FALSE)</f>
        <v>1290625</v>
      </c>
      <c r="V12" s="160">
        <f>IFERROR(VLOOKUP(B12,[1]Lương!$C$1:$BK$1007,38,FALSE),0)</f>
        <v>0</v>
      </c>
      <c r="W12" s="160">
        <f>VLOOKUP(B12,[1]Lương!$C$9:$BF$141,39,FALSE)</f>
        <v>0</v>
      </c>
      <c r="X12" s="160">
        <f>VLOOKUP(B12,[1]Lương!$C$9:$BF$141,40,FALSE)</f>
        <v>0</v>
      </c>
      <c r="Y12" s="146" t="e">
        <f t="shared" ref="Y12" si="10">SUM(N12:X12)</f>
        <v>#DIV/0!</v>
      </c>
      <c r="Z12" s="160">
        <f>VLOOKUP(B12,[1]Lương!$C$9:$BF$141,43,FALSE)</f>
        <v>557550</v>
      </c>
      <c r="AA12" s="160">
        <f>VLOOKUP(B12,[1]Lương!$C$9:$BF$141,45,FALSE)</f>
        <v>26550</v>
      </c>
      <c r="AB12" s="160" t="e">
        <f>VLOOKUP(B12,[1]Lương!$C$9:$BF$141,50,FALSE)</f>
        <v>#DIV/0!</v>
      </c>
      <c r="AC12" s="160">
        <f>VLOOKUP(B12,[1]Lương!$C$9:$BF$141,51,FALSE)</f>
        <v>0</v>
      </c>
      <c r="AD12" s="147">
        <f>VLOOKUP(B12,[1]Lương!$C$9:$BF$141,52,FALSE)</f>
        <v>0</v>
      </c>
      <c r="AE12" s="159" t="e">
        <f t="shared" ref="AE12" si="11">SUM(Z12:AD12)</f>
        <v>#DIV/0!</v>
      </c>
      <c r="AF12" s="161">
        <v>0</v>
      </c>
      <c r="AG12" s="148" t="e">
        <f t="shared" ref="AG12:AG13" si="12">ROUND((Y12-AE12+AF12),0)</f>
        <v>#DIV/0!</v>
      </c>
      <c r="AH12" s="148" t="e">
        <f t="shared" ref="AH12:AH15" si="13">AG12-T12-V12</f>
        <v>#DIV/0!</v>
      </c>
      <c r="AI12" s="148"/>
    </row>
    <row r="13" spans="1:35" s="175" customFormat="1" ht="39" customHeight="1">
      <c r="A13" s="170">
        <v>3</v>
      </c>
      <c r="B13" s="81" t="s">
        <v>96</v>
      </c>
      <c r="C13" s="82" t="s">
        <v>95</v>
      </c>
      <c r="D13" s="173">
        <v>44958</v>
      </c>
      <c r="E13" s="189" t="s">
        <v>83</v>
      </c>
      <c r="F13" s="171">
        <f t="shared" si="4"/>
        <v>27</v>
      </c>
      <c r="G13" s="149">
        <f>VLOOKUP(C13,'BẢNG CÔNG '!$B$5:$AN$99,39,FALSE)-H13-I13</f>
        <v>27</v>
      </c>
      <c r="H13" s="153"/>
      <c r="I13" s="150">
        <f>VLOOKUP(C13,'BẢNG CÔNG '!$B$7:$AK$9,36,FALSE)/8</f>
        <v>0</v>
      </c>
      <c r="J13" s="151">
        <f t="shared" ref="J13" si="14">H13+G13+I13</f>
        <v>27</v>
      </c>
      <c r="K13" s="152">
        <v>5310000</v>
      </c>
      <c r="L13" s="152">
        <v>1000000</v>
      </c>
      <c r="M13" s="127">
        <f t="shared" ref="M13" si="15">SUM(K13:L13)</f>
        <v>6310000</v>
      </c>
      <c r="N13" s="146">
        <f>M13/F13*G13</f>
        <v>6310000</v>
      </c>
      <c r="O13" s="146">
        <f t="shared" ref="O13" si="16">85%*M13/F13*H13</f>
        <v>0</v>
      </c>
      <c r="P13" s="146">
        <f t="shared" si="9"/>
        <v>0</v>
      </c>
      <c r="Q13" s="146">
        <f>K13/F13*VLOOKUP(C13,'BẢNG CÔNG '!$B$7:$AL$9,37,FALSE)*300%</f>
        <v>0</v>
      </c>
      <c r="R13" s="145">
        <f>VLOOKUP(C13,'BẢNG CÔNG '!$B$7:$AP$100,41,FALSE)</f>
        <v>350000</v>
      </c>
      <c r="S13" s="145" t="e">
        <f>VLOOKUP(C13,'HOA HỒNG '!$B$11:$J$98,9,FALSE)</f>
        <v>#DIV/0!</v>
      </c>
      <c r="T13" s="160">
        <f>VLOOKUP(B13,[1]Lương!$C$13:$BK$228,37,FALSE)</f>
        <v>0</v>
      </c>
      <c r="U13" s="146">
        <f>VLOOKUP(C13,'TĂNG CA'!$B$7:$AR$9,43,FALSE)</f>
        <v>1290625</v>
      </c>
      <c r="V13" s="160">
        <f>IFERROR(VLOOKUP(B13,[1]Lương!$C$1:$BK$1007,38,FALSE),0)</f>
        <v>0</v>
      </c>
      <c r="W13" s="160">
        <f>VLOOKUP(B13,[1]Lương!$C$9:$BF$141,39,FALSE)</f>
        <v>0</v>
      </c>
      <c r="X13" s="160">
        <f>VLOOKUP(B13,[1]Lương!$C$9:$BF$141,40,FALSE)</f>
        <v>0</v>
      </c>
      <c r="Y13" s="146" t="e">
        <f t="shared" ref="Y13" si="17">SUM(N13:X13)</f>
        <v>#DIV/0!</v>
      </c>
      <c r="Z13" s="160">
        <f>VLOOKUP(B13,[1]Lương!$C$9:$BF$141,43,FALSE)</f>
        <v>557550</v>
      </c>
      <c r="AA13" s="160">
        <f>VLOOKUP(B13,[1]Lương!$C$9:$BF$141,45,FALSE)</f>
        <v>26550</v>
      </c>
      <c r="AB13" s="160" t="e">
        <f>VLOOKUP(B13,[1]Lương!$C$9:$BF$141,50,FALSE)</f>
        <v>#DIV/0!</v>
      </c>
      <c r="AC13" s="160">
        <f>VLOOKUP(B13,[1]Lương!$C$9:$BF$141,51,FALSE)</f>
        <v>0</v>
      </c>
      <c r="AD13" s="147">
        <f>VLOOKUP(B13,[1]Lương!$C$9:$BF$141,52,FALSE)</f>
        <v>0</v>
      </c>
      <c r="AE13" s="159" t="e">
        <f t="shared" ref="AE13" si="18">SUM(Z13:AD13)</f>
        <v>#DIV/0!</v>
      </c>
      <c r="AF13" s="161">
        <v>0</v>
      </c>
      <c r="AG13" s="148" t="e">
        <f t="shared" si="12"/>
        <v>#DIV/0!</v>
      </c>
      <c r="AH13" s="148" t="e">
        <f t="shared" si="13"/>
        <v>#DIV/0!</v>
      </c>
      <c r="AI13" s="148"/>
    </row>
    <row r="14" spans="1:35" s="175" customFormat="1" ht="39" customHeight="1">
      <c r="A14" s="170">
        <v>4</v>
      </c>
      <c r="B14" s="81" t="s">
        <v>109</v>
      </c>
      <c r="C14" s="82" t="s">
        <v>108</v>
      </c>
      <c r="D14" s="173">
        <v>45488</v>
      </c>
      <c r="E14" s="189" t="s">
        <v>114</v>
      </c>
      <c r="F14" s="171">
        <f t="shared" si="4"/>
        <v>27</v>
      </c>
      <c r="G14" s="149">
        <f>VLOOKUP(C14,'BẢNG CÔNG '!$B$5:$AN$99,39,FALSE)-H14-I14</f>
        <v>27</v>
      </c>
      <c r="H14" s="153"/>
      <c r="I14" s="150">
        <f>VLOOKUP(C14,'BẢNG CÔNG '!$B$7:$AK$9,36,FALSE)/8</f>
        <v>0</v>
      </c>
      <c r="J14" s="151">
        <f t="shared" ref="J14:J15" si="19">H14+G14+I14</f>
        <v>27</v>
      </c>
      <c r="K14" s="152">
        <v>5310000</v>
      </c>
      <c r="L14" s="152">
        <v>900000</v>
      </c>
      <c r="M14" s="127">
        <f t="shared" ref="M14:M15" si="20">SUM(K14:L14)</f>
        <v>6210000</v>
      </c>
      <c r="N14" s="146">
        <f>M14/F14*G14</f>
        <v>6210000</v>
      </c>
      <c r="O14" s="146">
        <f t="shared" ref="O14:O15" si="21">85%*M14/F14*H14</f>
        <v>0</v>
      </c>
      <c r="P14" s="146">
        <f t="shared" ref="P14:P15" si="22">K14/$E$7*I14</f>
        <v>0</v>
      </c>
      <c r="Q14" s="146">
        <f>K14/F14*VLOOKUP(C14,'BẢNG CÔNG '!$B$7:$AL$9,37,FALSE)*300%</f>
        <v>0</v>
      </c>
      <c r="R14" s="145">
        <f>VLOOKUP(C14,'BẢNG CÔNG '!$B$7:$AP$100,41,FALSE)</f>
        <v>350000</v>
      </c>
      <c r="S14" s="145" t="e">
        <f>VLOOKUP(C14,'HOA HỒNG '!$B$11:$J$98,9,FALSE)</f>
        <v>#DIV/0!</v>
      </c>
      <c r="T14" s="160">
        <f>VLOOKUP(B14,[1]Lương!$C$13:$BK$228,37,FALSE)</f>
        <v>0</v>
      </c>
      <c r="U14" s="146">
        <f>VLOOKUP(C14,'TĂNG CA'!$B$7:$AR$9,43,FALSE)</f>
        <v>1659375</v>
      </c>
      <c r="V14" s="160">
        <f>IFERROR(VLOOKUP(B14,[1]Lương!$C$1:$BK$1007,38,FALSE),0)</f>
        <v>0</v>
      </c>
      <c r="W14" s="160">
        <f>VLOOKUP(B14,[1]Lương!$C$9:$BF$141,39,FALSE)</f>
        <v>0</v>
      </c>
      <c r="X14" s="160">
        <f>VLOOKUP(B14,[1]Lương!$C$9:$BF$141,40,FALSE)</f>
        <v>0</v>
      </c>
      <c r="Y14" s="146" t="e">
        <f t="shared" ref="Y14:Y15" si="23">SUM(N14:X14)</f>
        <v>#DIV/0!</v>
      </c>
      <c r="Z14" s="160">
        <f>VLOOKUP(B14,[1]Lương!$C$9:$BF$141,43,FALSE)</f>
        <v>557550</v>
      </c>
      <c r="AA14" s="160">
        <f>VLOOKUP(B14,[1]Lương!$C$9:$BF$141,45,FALSE)</f>
        <v>26550</v>
      </c>
      <c r="AB14" s="160" t="e">
        <f>VLOOKUP(B14,[1]Lương!$C$9:$BF$141,50,FALSE)</f>
        <v>#DIV/0!</v>
      </c>
      <c r="AC14" s="160">
        <f>VLOOKUP(B14,[1]Lương!$C$9:$BF$141,51,FALSE)</f>
        <v>0</v>
      </c>
      <c r="AD14" s="147">
        <f>VLOOKUP(B14,[1]Lương!$C$9:$BF$141,52,FALSE)</f>
        <v>0</v>
      </c>
      <c r="AE14" s="159" t="e">
        <f t="shared" ref="AE14:AE15" si="24">SUM(Z14:AD14)</f>
        <v>#DIV/0!</v>
      </c>
      <c r="AF14" s="161">
        <v>0</v>
      </c>
      <c r="AG14" s="148" t="e">
        <f>ROUND((Y14-AE14+AF14),0)</f>
        <v>#DIV/0!</v>
      </c>
      <c r="AH14" s="148" t="e">
        <f t="shared" si="13"/>
        <v>#DIV/0!</v>
      </c>
      <c r="AI14" s="148"/>
    </row>
    <row r="15" spans="1:35" s="348" customFormat="1" ht="39" customHeight="1">
      <c r="A15" s="330">
        <v>5</v>
      </c>
      <c r="B15" s="331" t="s">
        <v>215</v>
      </c>
      <c r="C15" s="236" t="s">
        <v>214</v>
      </c>
      <c r="D15" s="332">
        <v>46231</v>
      </c>
      <c r="E15" s="333" t="s">
        <v>216</v>
      </c>
      <c r="F15" s="334">
        <f t="shared" si="4"/>
        <v>27</v>
      </c>
      <c r="G15" s="335" t="e">
        <f>VLOOKUP(C15,'BẢNG CÔNG '!$B$6:$AN$99,39,FALSE)-H15-I15</f>
        <v>#N/A</v>
      </c>
      <c r="H15" s="336"/>
      <c r="I15" s="337" t="e">
        <f>VLOOKUP(C15,'BẢNG CÔNG '!$B$7:$AK$9,36,FALSE)/8</f>
        <v>#N/A</v>
      </c>
      <c r="J15" s="338" t="e">
        <f t="shared" si="19"/>
        <v>#N/A</v>
      </c>
      <c r="K15" s="339">
        <v>5310000</v>
      </c>
      <c r="L15" s="339">
        <v>800000</v>
      </c>
      <c r="M15" s="340">
        <f t="shared" si="20"/>
        <v>6110000</v>
      </c>
      <c r="N15" s="341" t="e">
        <f>M15/F15*G15</f>
        <v>#N/A</v>
      </c>
      <c r="O15" s="341">
        <f t="shared" si="21"/>
        <v>0</v>
      </c>
      <c r="P15" s="341" t="e">
        <f t="shared" si="22"/>
        <v>#N/A</v>
      </c>
      <c r="Q15" s="341" t="e">
        <f>K15/F15*VLOOKUP(C15,'BẢNG CÔNG '!$B$7:$AL$9,37,FALSE)*300%</f>
        <v>#N/A</v>
      </c>
      <c r="R15" s="342">
        <f>VLOOKUP(C15,'BẢNG CÔNG '!$B$7:$AP$100,41,FALSE)</f>
        <v>38888.888888888891</v>
      </c>
      <c r="S15" s="342" t="e">
        <f>VLOOKUP(C15,'HOA HỒNG '!$B$11:$J$98,9,FALSE)</f>
        <v>#N/A</v>
      </c>
      <c r="T15" s="343">
        <f>VLOOKUP(B15,[1]Lương!$C$13:$BK$228,37,FALSE)</f>
        <v>0</v>
      </c>
      <c r="U15" s="341" t="e">
        <f>VLOOKUP(C15,'TĂNG CA'!$B$7:$AR$9,43,FALSE)</f>
        <v>#N/A</v>
      </c>
      <c r="V15" s="343">
        <f>IFERROR(VLOOKUP(B15,[1]Lương!$C$1:$BK$1007,38,FALSE),0)</f>
        <v>0</v>
      </c>
      <c r="W15" s="343">
        <f>VLOOKUP(B15,[1]Lương!$C$9:$BF$141,39,FALSE)</f>
        <v>0</v>
      </c>
      <c r="X15" s="343">
        <f>VLOOKUP(B15,[1]Lương!$C$9:$BF$141,40,FALSE)</f>
        <v>0</v>
      </c>
      <c r="Y15" s="341" t="e">
        <f t="shared" si="23"/>
        <v>#N/A</v>
      </c>
      <c r="Z15" s="343" t="e">
        <f>VLOOKUP(B15,[1]Lương!$C$9:$BF$141,43,FALSE)</f>
        <v>#N/A</v>
      </c>
      <c r="AA15" s="343" t="e">
        <f>VLOOKUP(B15,[1]Lương!$C$9:$BF$141,45,FALSE)</f>
        <v>#N/A</v>
      </c>
      <c r="AB15" s="343" t="e">
        <f>VLOOKUP(B15,[1]Lương!$C$9:$BF$141,50,FALSE)</f>
        <v>#N/A</v>
      </c>
      <c r="AC15" s="343">
        <f>VLOOKUP(B15,[1]Lương!$C$9:$BF$141,51,FALSE)</f>
        <v>0</v>
      </c>
      <c r="AD15" s="344">
        <f>VLOOKUP(B15,[1]Lương!$C$9:$BF$141,52,FALSE)</f>
        <v>0</v>
      </c>
      <c r="AE15" s="345" t="e">
        <f t="shared" si="24"/>
        <v>#N/A</v>
      </c>
      <c r="AF15" s="346">
        <v>0</v>
      </c>
      <c r="AG15" s="347" t="e">
        <f>ROUND((Y15-AE15+AF15),0)</f>
        <v>#N/A</v>
      </c>
      <c r="AH15" s="347" t="e">
        <f t="shared" si="13"/>
        <v>#N/A</v>
      </c>
      <c r="AI15" s="347"/>
    </row>
    <row r="16" spans="1:35" s="158" customFormat="1" ht="39" customHeight="1">
      <c r="A16" s="154"/>
      <c r="B16" s="154"/>
      <c r="C16" s="154" t="s">
        <v>30</v>
      </c>
      <c r="D16" s="155"/>
      <c r="E16" s="156"/>
      <c r="F16" s="156"/>
      <c r="G16" s="156"/>
      <c r="H16" s="156"/>
      <c r="I16" s="156"/>
      <c r="J16" s="156"/>
      <c r="K16" s="157">
        <f>SUM(K11:K15)</f>
        <v>27100000</v>
      </c>
      <c r="L16" s="157">
        <f t="shared" ref="L16:AH16" si="25">SUM(L11:L15)</f>
        <v>6100000</v>
      </c>
      <c r="M16" s="157">
        <f t="shared" si="25"/>
        <v>33200000</v>
      </c>
      <c r="N16" s="157" t="e">
        <f t="shared" si="25"/>
        <v>#N/A</v>
      </c>
      <c r="O16" s="157">
        <f t="shared" si="25"/>
        <v>0</v>
      </c>
      <c r="P16" s="157" t="e">
        <f t="shared" si="25"/>
        <v>#N/A</v>
      </c>
      <c r="Q16" s="157" t="e">
        <f t="shared" si="25"/>
        <v>#N/A</v>
      </c>
      <c r="R16" s="157">
        <f t="shared" si="25"/>
        <v>1438888.888888889</v>
      </c>
      <c r="S16" s="157" t="e">
        <f t="shared" si="25"/>
        <v>#DIV/0!</v>
      </c>
      <c r="T16" s="157">
        <f t="shared" si="25"/>
        <v>0</v>
      </c>
      <c r="U16" s="157" t="e">
        <f t="shared" si="25"/>
        <v>#N/A</v>
      </c>
      <c r="V16" s="157">
        <f t="shared" si="25"/>
        <v>0</v>
      </c>
      <c r="W16" s="157">
        <f t="shared" si="25"/>
        <v>0</v>
      </c>
      <c r="X16" s="157">
        <f t="shared" si="25"/>
        <v>0</v>
      </c>
      <c r="Y16" s="157" t="e">
        <f t="shared" si="25"/>
        <v>#DIV/0!</v>
      </c>
      <c r="Z16" s="157" t="e">
        <f t="shared" si="25"/>
        <v>#N/A</v>
      </c>
      <c r="AA16" s="157" t="e">
        <f t="shared" si="25"/>
        <v>#N/A</v>
      </c>
      <c r="AB16" s="157" t="e">
        <f t="shared" si="25"/>
        <v>#DIV/0!</v>
      </c>
      <c r="AC16" s="157">
        <f t="shared" si="25"/>
        <v>0</v>
      </c>
      <c r="AD16" s="157">
        <f t="shared" si="25"/>
        <v>0</v>
      </c>
      <c r="AE16" s="157" t="e">
        <f t="shared" si="25"/>
        <v>#DIV/0!</v>
      </c>
      <c r="AF16" s="157">
        <f t="shared" si="25"/>
        <v>0</v>
      </c>
      <c r="AG16" s="157" t="e">
        <f t="shared" si="25"/>
        <v>#DIV/0!</v>
      </c>
      <c r="AH16" s="157" t="e">
        <f t="shared" si="25"/>
        <v>#DIV/0!</v>
      </c>
      <c r="AI16" s="157"/>
    </row>
    <row r="17" spans="1:30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4"/>
      <c r="S17" s="64"/>
      <c r="T17" s="64"/>
      <c r="U17" s="64"/>
      <c r="V17" s="64"/>
      <c r="W17" s="64"/>
      <c r="X17" s="64"/>
      <c r="Y17" s="64"/>
    </row>
    <row r="18" spans="1:30" s="62" customFormat="1">
      <c r="A18" s="65"/>
      <c r="B18" s="65"/>
      <c r="C18" s="63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67"/>
      <c r="Q18" s="67"/>
      <c r="R18" s="61"/>
      <c r="S18" s="61"/>
      <c r="T18" s="61"/>
      <c r="U18" s="61"/>
      <c r="V18" s="61"/>
      <c r="W18" s="61"/>
      <c r="X18" s="61"/>
      <c r="Y18" s="61"/>
      <c r="Z18" s="59"/>
      <c r="AA18" s="59"/>
      <c r="AB18" s="59"/>
      <c r="AC18" s="59"/>
      <c r="AD18" s="59"/>
    </row>
    <row r="19" spans="1:30">
      <c r="A19" s="66"/>
      <c r="B19" s="66"/>
      <c r="C19" s="63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67"/>
      <c r="Q19" s="67"/>
    </row>
    <row r="20" spans="1:30" s="62" customFormat="1">
      <c r="A20" s="65"/>
      <c r="B20" s="65"/>
      <c r="C20" s="63"/>
      <c r="D20" s="68"/>
      <c r="E20" s="68"/>
      <c r="F20" s="68"/>
      <c r="G20" s="66"/>
      <c r="H20" s="66"/>
      <c r="I20" s="66"/>
      <c r="J20" s="66"/>
      <c r="K20" s="66"/>
      <c r="L20" s="66"/>
      <c r="M20" s="66"/>
      <c r="N20" s="66"/>
      <c r="O20" s="67"/>
      <c r="P20" s="67"/>
      <c r="Q20" s="67"/>
      <c r="R20" s="61"/>
      <c r="S20" s="61"/>
      <c r="T20" s="61"/>
      <c r="U20" s="61"/>
      <c r="V20" s="61"/>
      <c r="W20" s="61"/>
      <c r="X20" s="61"/>
      <c r="Y20" s="61"/>
      <c r="Z20" s="59"/>
      <c r="AA20" s="59"/>
      <c r="AB20" s="59"/>
      <c r="AC20" s="59"/>
      <c r="AD20" s="59"/>
    </row>
    <row r="21" spans="1:30" s="62" customFormat="1">
      <c r="A21" s="65"/>
      <c r="B21" s="65"/>
      <c r="C21" s="63"/>
      <c r="D21" s="68"/>
      <c r="E21" s="68"/>
      <c r="F21" s="68"/>
      <c r="G21" s="66"/>
      <c r="H21" s="66"/>
      <c r="I21" s="66"/>
      <c r="J21" s="66"/>
    </row>
    <row r="22" spans="1:30" s="62" customFormat="1">
      <c r="A22" s="65"/>
      <c r="B22" s="65"/>
      <c r="C22" s="63"/>
      <c r="D22" s="68"/>
      <c r="E22" s="68"/>
      <c r="F22" s="68"/>
      <c r="G22" s="69"/>
      <c r="H22" s="69"/>
      <c r="I22" s="69"/>
      <c r="J22" s="69"/>
      <c r="K22" s="69"/>
      <c r="L22" s="66"/>
      <c r="M22" s="66"/>
      <c r="N22" s="66"/>
      <c r="O22" s="67"/>
      <c r="P22" s="67"/>
      <c r="Q22" s="67"/>
      <c r="R22" s="61"/>
      <c r="T22" s="61"/>
      <c r="U22" s="61"/>
      <c r="V22" s="61"/>
      <c r="W22" s="61"/>
      <c r="X22" s="61"/>
      <c r="Y22" s="61"/>
      <c r="Z22" s="59"/>
      <c r="AA22" s="59"/>
      <c r="AB22" s="59"/>
      <c r="AC22" s="59"/>
      <c r="AD22" s="59"/>
    </row>
    <row r="23" spans="1:30" s="62" customFormat="1" ht="19.5" customHeight="1">
      <c r="A23" s="65"/>
      <c r="B23" s="65"/>
      <c r="C23" s="63"/>
      <c r="D23" s="70"/>
      <c r="E23" s="70"/>
      <c r="F23" s="70"/>
      <c r="G23" s="71"/>
      <c r="H23" s="71"/>
      <c r="I23" s="71"/>
      <c r="J23" s="71"/>
      <c r="K23" s="71"/>
      <c r="L23" s="66"/>
      <c r="M23" s="66"/>
      <c r="N23" s="66"/>
      <c r="O23" s="67"/>
      <c r="P23" s="67"/>
      <c r="Q23" s="67"/>
      <c r="R23" s="61"/>
      <c r="S23" s="61"/>
      <c r="T23" s="61"/>
      <c r="U23" s="61"/>
      <c r="V23" s="61"/>
      <c r="W23" s="61"/>
      <c r="X23" s="61"/>
      <c r="Y23" s="61"/>
      <c r="Z23" s="59"/>
      <c r="AA23" s="59"/>
      <c r="AB23" s="59"/>
      <c r="AC23" s="59"/>
      <c r="AD23" s="59"/>
    </row>
    <row r="24" spans="1:30" s="62" customFormat="1">
      <c r="A24" s="65"/>
      <c r="B24" s="65"/>
      <c r="C24" s="63"/>
      <c r="D24" s="68"/>
      <c r="E24" s="68"/>
      <c r="F24" s="68"/>
      <c r="G24" s="72"/>
      <c r="H24" s="72"/>
      <c r="I24" s="72"/>
      <c r="J24" s="72"/>
      <c r="K24" s="72"/>
      <c r="L24" s="66"/>
      <c r="M24" s="66"/>
      <c r="N24" s="66"/>
      <c r="O24" s="67"/>
      <c r="P24" s="67"/>
      <c r="Q24" s="67"/>
      <c r="R24" s="61"/>
      <c r="S24" s="61"/>
      <c r="T24" s="61"/>
      <c r="U24" s="61"/>
      <c r="V24" s="61"/>
      <c r="W24" s="61"/>
      <c r="X24" s="61"/>
      <c r="Y24" s="61"/>
      <c r="Z24" s="59"/>
      <c r="AA24" s="59"/>
      <c r="AB24" s="59"/>
      <c r="AC24" s="59"/>
      <c r="AD24" s="59"/>
    </row>
    <row r="25" spans="1:30">
      <c r="C25" s="63"/>
    </row>
    <row r="26" spans="1:30">
      <c r="C26" s="63"/>
    </row>
    <row r="27" spans="1:30">
      <c r="C27" s="63"/>
    </row>
  </sheetData>
  <mergeCells count="38">
    <mergeCell ref="C7:D7"/>
    <mergeCell ref="L8:L9"/>
    <mergeCell ref="M8:M9"/>
    <mergeCell ref="N8:N9"/>
    <mergeCell ref="O8:O9"/>
    <mergeCell ref="A8:A10"/>
    <mergeCell ref="C8:C10"/>
    <mergeCell ref="D8:D10"/>
    <mergeCell ref="E8:E9"/>
    <mergeCell ref="F8:F9"/>
    <mergeCell ref="B8:B10"/>
    <mergeCell ref="E5:AG5"/>
    <mergeCell ref="G8:G9"/>
    <mergeCell ref="H8:H9"/>
    <mergeCell ref="J8:J9"/>
    <mergeCell ref="K8:K9"/>
    <mergeCell ref="AB8:AB9"/>
    <mergeCell ref="AD8:AD9"/>
    <mergeCell ref="AE8:AE9"/>
    <mergeCell ref="R8:R9"/>
    <mergeCell ref="P8:P9"/>
    <mergeCell ref="AG8:AG9"/>
    <mergeCell ref="S8:S9"/>
    <mergeCell ref="AC8:AC9"/>
    <mergeCell ref="V8:V9"/>
    <mergeCell ref="W8:W9"/>
    <mergeCell ref="AF8:AF9"/>
    <mergeCell ref="Q8:Q9"/>
    <mergeCell ref="R6:U6"/>
    <mergeCell ref="AI8:AI9"/>
    <mergeCell ref="AH8:AH9"/>
    <mergeCell ref="I8:I9"/>
    <mergeCell ref="T8:T9"/>
    <mergeCell ref="U8:U9"/>
    <mergeCell ref="Y8:Y9"/>
    <mergeCell ref="Z8:Z9"/>
    <mergeCell ref="AA8:AA9"/>
    <mergeCell ref="X8:X9"/>
  </mergeCells>
  <conditionalFormatting sqref="C16:D16 C8:D8 C9:C10">
    <cfRule type="duplicateValues" dxfId="0" priority="26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C6" rgbClr="4FC520"/>
  </commentList>
  <commentList sheetStid="5">
    <comment s:ref="O9" rgbClr="8FC5D0"/>
    <comment s:ref="P9" rgbClr="8FC5D0"/>
    <comment s:ref="Q9" rgbClr="8FC5D0"/>
    <comment s:ref="R9" rgbClr="8FC5D0"/>
  </commentList>
  <commentList sheetStid="10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ThongKe</vt:lpstr>
      <vt:lpstr>BẢNG CÔNG </vt:lpstr>
      <vt:lpstr>TĂNG CA</vt:lpstr>
      <vt:lpstr>HOA HỒNG </vt:lpstr>
      <vt:lpstr>BẢNG LƯƠNG</vt:lpstr>
      <vt:lpstr>'BẢNG CÔNG '!Print_Area</vt:lpstr>
      <vt:lpstr>'HOA HỒNG '!Print_Area</vt:lpstr>
      <vt:lpstr>'TĂNG CA'!Print_Area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YEN</cp:lastModifiedBy>
  <dcterms:created xsi:type="dcterms:W3CDTF">2021-07-19T03:04:00Z</dcterms:created>
  <dcterms:modified xsi:type="dcterms:W3CDTF">2026-08-01T08:02:05Z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7632E3DCD2FA4B49B56C04B22519F56A</vt:lpwstr>
  </property>
  <property fmtid="{D5CDD505-2E9C-101B-9397-08002B2CF9AE}" pid="3" name="KSOProductBuildVer">
    <vt:lpwstr>2052-11.1.0.11830</vt:lpwstr>
  </property>
</Properties>
</file>