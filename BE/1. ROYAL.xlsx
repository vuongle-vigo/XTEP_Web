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DMIN\Documents\GitHub\XTEP\1\"/>
    </mc:Choice>
  </mc:AlternateContent>
  <xr:revisionPtr revIDLastSave="0" documentId="13_ncr:1_{25FDC777-467A-417D-B48C-28B0A54C656F}" xr6:coauthVersionLast="47" xr6:coauthVersionMax="47" xr10:uidLastSave="{00000000-0000-0000-0000-000000000000}"/>
  <bookViews>
    <workbookView xWindow="28680" yWindow="-120" windowWidth="16440" windowHeight="28320" tabRatio="601" firstSheet="1" activeTab="1" xr2:uid="{00000000-000D-0000-FFFF-FFFF00000000}"/>
  </bookViews>
  <sheets>
    <sheet name="Kangatang" sheetId="14" state="veryHidden" r:id="rId1"/>
    <sheet name="ThongKe" sheetId="15" r:id="rId2"/>
    <sheet name="BẢNG CÔNG " sheetId="2" r:id="rId3"/>
    <sheet name="TĂNG CA" sheetId="3" r:id="rId4"/>
    <sheet name="HOA HỒNG " sheetId="8" r:id="rId5"/>
    <sheet name="BẢNG LƯƠNG" sheetId="12" r:id="rId6"/>
  </sheets>
  <externalReferences>
    <externalReference r:id="rId7"/>
    <externalReference r:id="rId8"/>
    <externalReference r:id="rId9"/>
    <externalReference r:id="rId10"/>
  </externalReferences>
  <definedNames>
    <definedName name="_Fill" hidden="1">#REF!</definedName>
    <definedName name="â1">'[1]Phiếu lương T'!#REF!</definedName>
    <definedName name="_xlnm.Print_Area" localSheetId="2">'BẢNG CÔNG '!$A$1:$AR$240</definedName>
    <definedName name="_xlnm.Print_Area" localSheetId="3">'TĂNG CA'!$A$1:$AT$245</definedName>
    <definedName name="T7_Hong">'[2]Phiếu lương T'!#REF!</definedName>
    <definedName name="Thưởng">'[3]Phiếu lương T'!#REF!</definedName>
    <definedName name="啊">'[1]Phiếu lương T'!#REF!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16" i="12" l="1"/>
  <c r="AA16" i="12"/>
  <c r="W16" i="12"/>
  <c r="L17" i="12"/>
  <c r="M17" i="12"/>
  <c r="K17" i="12"/>
  <c r="AG16" i="12"/>
  <c r="AE16" i="12"/>
  <c r="AD16" i="12"/>
  <c r="AB16" i="12"/>
  <c r="Y16" i="12"/>
  <c r="X16" i="12"/>
  <c r="U16" i="12"/>
  <c r="R16" i="12"/>
  <c r="N16" i="12"/>
  <c r="P16" i="12" s="1"/>
  <c r="F16" i="12"/>
  <c r="G18" i="8"/>
  <c r="E18" i="8"/>
  <c r="D18" i="8"/>
  <c r="I17" i="8"/>
  <c r="F17" i="8"/>
  <c r="AO11" i="3"/>
  <c r="AP11" i="3"/>
  <c r="AQ11" i="3"/>
  <c r="AI11" i="3"/>
  <c r="AM11" i="3" s="1"/>
  <c r="AK11" i="2"/>
  <c r="I16" i="12" s="1"/>
  <c r="AJ11" i="2"/>
  <c r="AI11" i="2"/>
  <c r="AN11" i="3" l="1"/>
  <c r="AR11" i="3" s="1"/>
  <c r="V16" i="12" s="1"/>
  <c r="AM11" i="2"/>
  <c r="AN11" i="2" s="1"/>
  <c r="H17" i="8" s="1"/>
  <c r="G16" i="12"/>
  <c r="J16" i="12" s="1"/>
  <c r="AF16" i="12"/>
  <c r="Q16" i="12"/>
  <c r="AG15" i="12"/>
  <c r="AE15" i="12"/>
  <c r="AD15" i="12"/>
  <c r="Y15" i="12"/>
  <c r="X15" i="12"/>
  <c r="U15" i="12"/>
  <c r="R15" i="12"/>
  <c r="N15" i="12"/>
  <c r="F15" i="12"/>
  <c r="I16" i="8"/>
  <c r="AO10" i="3"/>
  <c r="AP10" i="3"/>
  <c r="AQ10" i="3"/>
  <c r="AI10" i="3"/>
  <c r="AM10" i="3" s="1"/>
  <c r="AK10" i="2"/>
  <c r="I15" i="12" s="1"/>
  <c r="AJ10" i="2"/>
  <c r="AI10" i="2"/>
  <c r="AP11" i="2" l="1"/>
  <c r="S16" i="12" s="1"/>
  <c r="O16" i="12"/>
  <c r="P15" i="12"/>
  <c r="F15" i="8"/>
  <c r="F16" i="8"/>
  <c r="AN10" i="3"/>
  <c r="AR10" i="3" s="1"/>
  <c r="V15" i="12" s="1"/>
  <c r="AM10" i="2"/>
  <c r="AN10" i="2" s="1"/>
  <c r="H16" i="8" s="1"/>
  <c r="Q15" i="12"/>
  <c r="AG14" i="12"/>
  <c r="AE14" i="12"/>
  <c r="AD14" i="12"/>
  <c r="Y14" i="12"/>
  <c r="X14" i="12"/>
  <c r="U14" i="12"/>
  <c r="R14" i="12"/>
  <c r="N14" i="12"/>
  <c r="F14" i="12"/>
  <c r="I15" i="8"/>
  <c r="AQ9" i="3"/>
  <c r="AP9" i="3"/>
  <c r="AO9" i="3"/>
  <c r="AI9" i="3"/>
  <c r="AN9" i="3" s="1"/>
  <c r="AK9" i="2"/>
  <c r="I14" i="12" s="1"/>
  <c r="AJ9" i="2"/>
  <c r="AI9" i="2"/>
  <c r="G15" i="12" l="1"/>
  <c r="J15" i="12" s="1"/>
  <c r="AR9" i="3"/>
  <c r="V14" i="12" s="1"/>
  <c r="AP10" i="2"/>
  <c r="S15" i="12" s="1"/>
  <c r="AM9" i="3"/>
  <c r="AM9" i="2"/>
  <c r="AN9" i="2" s="1"/>
  <c r="G14" i="12" s="1"/>
  <c r="J14" i="12" s="1"/>
  <c r="H15" i="8"/>
  <c r="P14" i="12"/>
  <c r="Q14" i="12"/>
  <c r="N12" i="12"/>
  <c r="X12" i="12"/>
  <c r="AD12" i="12"/>
  <c r="AE12" i="12"/>
  <c r="AG12" i="12"/>
  <c r="F12" i="12"/>
  <c r="O15" i="12" l="1"/>
  <c r="AP9" i="2"/>
  <c r="S14" i="12" s="1"/>
  <c r="O14" i="12"/>
  <c r="P12" i="12"/>
  <c r="I13" i="8"/>
  <c r="AP7" i="3"/>
  <c r="AO7" i="3"/>
  <c r="AQ7" i="3"/>
  <c r="AI7" i="2"/>
  <c r="AJ7" i="2"/>
  <c r="AK7" i="2"/>
  <c r="I12" i="12" s="1"/>
  <c r="R12" i="12"/>
  <c r="AM7" i="2" l="1"/>
  <c r="AN7" i="2" s="1"/>
  <c r="AP7" i="2" s="1"/>
  <c r="S12" i="12" s="1"/>
  <c r="Q12" i="12"/>
  <c r="AI7" i="3"/>
  <c r="H13" i="8" l="1"/>
  <c r="G12" i="12"/>
  <c r="J12" i="12" s="1"/>
  <c r="AM7" i="3"/>
  <c r="AN7" i="3"/>
  <c r="AR7" i="3" s="1"/>
  <c r="V12" i="12" s="1"/>
  <c r="F13" i="8"/>
  <c r="F18" i="8" s="1"/>
  <c r="O12" i="12" l="1"/>
  <c r="AQ8" i="3"/>
  <c r="AO8" i="3"/>
  <c r="AQ6" i="3"/>
  <c r="AO6" i="3"/>
  <c r="AP8" i="3"/>
  <c r="AP6" i="3"/>
  <c r="AI6" i="3" l="1"/>
  <c r="AM6" i="3" l="1"/>
  <c r="AN6" i="3"/>
  <c r="F14" i="8"/>
  <c r="AW8" i="3" l="1"/>
  <c r="AZ8" i="3" s="1"/>
  <c r="BC8" i="3" s="1"/>
  <c r="AW6" i="3"/>
  <c r="AZ6" i="3" s="1"/>
  <c r="BC6" i="3" s="1"/>
  <c r="F8" i="8" l="1"/>
  <c r="F12" i="8" l="1"/>
  <c r="AK8" i="2" l="1"/>
  <c r="I13" i="12" s="1"/>
  <c r="AJ8" i="2"/>
  <c r="AI8" i="2"/>
  <c r="AK6" i="2"/>
  <c r="AJ6" i="2"/>
  <c r="AI6" i="2"/>
  <c r="D5" i="2"/>
  <c r="E4" i="2"/>
  <c r="E5" i="2" s="1"/>
  <c r="F4" i="2" l="1"/>
  <c r="F5" i="2" s="1"/>
  <c r="AM8" i="2"/>
  <c r="AN8" i="2" s="1"/>
  <c r="AM6" i="2"/>
  <c r="AN6" i="2" s="1"/>
  <c r="H12" i="8" s="1"/>
  <c r="E25" i="8"/>
  <c r="I14" i="8"/>
  <c r="I12" i="8"/>
  <c r="E24" i="8"/>
  <c r="H14" i="8" l="1"/>
  <c r="AP8" i="2"/>
  <c r="G4" i="2"/>
  <c r="G5" i="2" s="1"/>
  <c r="AP6" i="2"/>
  <c r="E23" i="8"/>
  <c r="E26" i="8" s="1"/>
  <c r="H4" i="2" l="1"/>
  <c r="I4" i="2" s="1"/>
  <c r="J9" i="8"/>
  <c r="H5" i="2" l="1"/>
  <c r="J12" i="8"/>
  <c r="I5" i="2"/>
  <c r="J4" i="2"/>
  <c r="T11" i="12" l="1"/>
  <c r="E27" i="8"/>
  <c r="E28" i="8" s="1"/>
  <c r="J10" i="8" s="1"/>
  <c r="J17" i="8" s="1"/>
  <c r="T16" i="12" s="1"/>
  <c r="Z16" i="12" s="1"/>
  <c r="AH16" i="12" s="1"/>
  <c r="AI16" i="12" s="1"/>
  <c r="J5" i="2"/>
  <c r="K4" i="2"/>
  <c r="J15" i="8" l="1"/>
  <c r="T14" i="12" s="1"/>
  <c r="J16" i="8"/>
  <c r="T15" i="12" s="1"/>
  <c r="Z15" i="12" s="1"/>
  <c r="J13" i="8"/>
  <c r="K5" i="2"/>
  <c r="L4" i="2"/>
  <c r="J14" i="8"/>
  <c r="AD11" i="12"/>
  <c r="AD13" i="12"/>
  <c r="AE13" i="12"/>
  <c r="T12" i="12" l="1"/>
  <c r="T17" i="12" s="1"/>
  <c r="J18" i="8"/>
  <c r="AD17" i="12"/>
  <c r="L5" i="2"/>
  <c r="M4" i="2"/>
  <c r="M5" i="2" l="1"/>
  <c r="N4" i="2"/>
  <c r="N13" i="12"/>
  <c r="U13" i="12"/>
  <c r="X13" i="12"/>
  <c r="AG13" i="12"/>
  <c r="G13" i="12"/>
  <c r="F13" i="12"/>
  <c r="N5" i="2" l="1"/>
  <c r="O4" i="2"/>
  <c r="Q13" i="12"/>
  <c r="P13" i="12"/>
  <c r="AI8" i="3"/>
  <c r="AN8" i="3" s="1"/>
  <c r="O5" i="2" l="1"/>
  <c r="P4" i="2"/>
  <c r="R13" i="12"/>
  <c r="AM8" i="3"/>
  <c r="P5" i="2" l="1"/>
  <c r="Q4" i="2"/>
  <c r="AR8" i="3"/>
  <c r="V13" i="12" s="1"/>
  <c r="S13" i="12"/>
  <c r="R4" i="2" l="1"/>
  <c r="Q5" i="2"/>
  <c r="J13" i="12"/>
  <c r="O13" i="12"/>
  <c r="R11" i="12"/>
  <c r="R17" i="12" s="1"/>
  <c r="S4" i="2" l="1"/>
  <c r="R5" i="2"/>
  <c r="U11" i="12"/>
  <c r="U17" i="12" s="1"/>
  <c r="S5" i="2" l="1"/>
  <c r="T4" i="2"/>
  <c r="T5" i="2" l="1"/>
  <c r="U4" i="2"/>
  <c r="AG11" i="12"/>
  <c r="AG17" i="12" s="1"/>
  <c r="U5" i="2" l="1"/>
  <c r="V4" i="2"/>
  <c r="V5" i="2" l="1"/>
  <c r="W4" i="2"/>
  <c r="W5" i="2" l="1"/>
  <c r="X4" i="2"/>
  <c r="X5" i="2" l="1"/>
  <c r="Y4" i="2"/>
  <c r="Y5" i="2" l="1"/>
  <c r="Z4" i="2"/>
  <c r="Z5" i="2" l="1"/>
  <c r="AA4" i="2"/>
  <c r="AA5" i="2" l="1"/>
  <c r="AB4" i="2"/>
  <c r="AB5" i="2" l="1"/>
  <c r="AC4" i="2"/>
  <c r="AC5" i="2" l="1"/>
  <c r="AD4" i="2"/>
  <c r="AD5" i="2" l="1"/>
  <c r="AE4" i="2"/>
  <c r="AE5" i="2" l="1"/>
  <c r="AF4" i="2"/>
  <c r="I11" i="12"/>
  <c r="AF5" i="2" l="1"/>
  <c r="AG4" i="2"/>
  <c r="Q11" i="12"/>
  <c r="Q17" i="12" s="1"/>
  <c r="AG5" i="2" l="1"/>
  <c r="AH4" i="2"/>
  <c r="AH5" i="2" s="1"/>
  <c r="F11" i="12" l="1"/>
  <c r="N11" i="12" l="1"/>
  <c r="N17" i="12" s="1"/>
  <c r="P11" i="12" l="1"/>
  <c r="P17" i="12" s="1"/>
  <c r="G11" i="12" l="1"/>
  <c r="S11" i="12"/>
  <c r="S17" i="12" s="1"/>
  <c r="J11" i="12" l="1"/>
  <c r="O11" i="12"/>
  <c r="O17" i="12" s="1"/>
  <c r="AR6" i="3" l="1"/>
  <c r="V11" i="12" l="1"/>
  <c r="V17" i="12" s="1"/>
  <c r="E4" i="3" l="1"/>
  <c r="E5" i="3" s="1"/>
  <c r="D5" i="3"/>
  <c r="F4" i="3" l="1"/>
  <c r="G4" i="3" s="1"/>
  <c r="H4" i="3" s="1"/>
  <c r="I4" i="3" s="1"/>
  <c r="J4" i="3" s="1"/>
  <c r="K4" i="3" s="1"/>
  <c r="L4" i="3" s="1"/>
  <c r="M4" i="3" s="1"/>
  <c r="N4" i="3" s="1"/>
  <c r="O4" i="3" s="1"/>
  <c r="P4" i="3" s="1"/>
  <c r="Q4" i="3" s="1"/>
  <c r="R4" i="3" s="1"/>
  <c r="S4" i="3" s="1"/>
  <c r="T4" i="3" s="1"/>
  <c r="U4" i="3" s="1"/>
  <c r="V4" i="3" s="1"/>
  <c r="W4" i="3" s="1"/>
  <c r="X4" i="3" s="1"/>
  <c r="Y4" i="3" s="1"/>
  <c r="Z4" i="3" s="1"/>
  <c r="AA4" i="3" s="1"/>
  <c r="AB4" i="3" s="1"/>
  <c r="AC4" i="3" s="1"/>
  <c r="AD4" i="3" s="1"/>
  <c r="AE4" i="3" s="1"/>
  <c r="AF4" i="3" s="1"/>
  <c r="AG4" i="3" s="1"/>
  <c r="AH4" i="3" s="1"/>
  <c r="AH5" i="3" s="1"/>
  <c r="R5" i="3" l="1"/>
  <c r="X5" i="3"/>
  <c r="AE5" i="3"/>
  <c r="K5" i="3"/>
  <c r="W5" i="3"/>
  <c r="H5" i="3"/>
  <c r="AA5" i="3"/>
  <c r="Y5" i="3"/>
  <c r="Q5" i="3"/>
  <c r="AD5" i="3"/>
  <c r="N5" i="3"/>
  <c r="AC5" i="3"/>
  <c r="G5" i="3"/>
  <c r="I5" i="3"/>
  <c r="M5" i="3"/>
  <c r="O5" i="3"/>
  <c r="P5" i="3"/>
  <c r="T5" i="3"/>
  <c r="J5" i="3"/>
  <c r="F5" i="3"/>
  <c r="Z5" i="3"/>
  <c r="L5" i="3"/>
  <c r="S5" i="3"/>
  <c r="AF5" i="3"/>
  <c r="U5" i="3"/>
  <c r="V5" i="3"/>
  <c r="AG5" i="3"/>
  <c r="AB5" i="3"/>
  <c r="T13" i="12" l="1"/>
  <c r="X11" i="12" l="1"/>
  <c r="X17" i="12" s="1"/>
  <c r="AE11" i="12" l="1"/>
  <c r="AE17" i="12" s="1"/>
  <c r="W12" i="12" l="1"/>
  <c r="W13" i="12"/>
  <c r="W14" i="12"/>
  <c r="Z14" i="12" s="1"/>
  <c r="W15" i="12"/>
  <c r="W11" i="12"/>
  <c r="W17" i="12" l="1"/>
  <c r="AB15" i="12" l="1"/>
  <c r="AA15" i="12"/>
  <c r="AB14" i="12" l="1"/>
  <c r="AA14" i="12"/>
  <c r="AC14" i="12" l="1"/>
  <c r="AF14" i="12" s="1"/>
  <c r="AH14" i="12" s="1"/>
  <c r="AI14" i="12" s="1"/>
  <c r="AC15" i="12"/>
  <c r="AF15" i="12" s="1"/>
  <c r="AH15" i="12" s="1"/>
  <c r="AI15" i="12" s="1"/>
  <c r="Y12" i="12" l="1"/>
  <c r="Z12" i="12" s="1"/>
  <c r="Y13" i="12"/>
  <c r="Z13" i="12" s="1"/>
  <c r="Y11" i="12"/>
  <c r="Y17" i="12" l="1"/>
  <c r="Z11" i="12"/>
  <c r="Z17" i="12" s="1"/>
  <c r="AB12" i="12" l="1"/>
  <c r="AA12" i="12"/>
  <c r="AC12" i="12" l="1"/>
  <c r="AF12" i="12" s="1"/>
  <c r="AH12" i="12" s="1"/>
  <c r="AI12" i="12" s="1"/>
  <c r="AA13" i="12" l="1"/>
  <c r="AB13" i="12" l="1"/>
  <c r="AB11" i="12" l="1"/>
  <c r="AB17" i="12" s="1"/>
  <c r="AA11" i="12" l="1"/>
  <c r="AA17" i="12" s="1"/>
  <c r="AC13" i="12" l="1"/>
  <c r="AF13" i="12" s="1"/>
  <c r="AH13" i="12" s="1"/>
  <c r="AI13" i="12" s="1"/>
  <c r="AC11" i="12" l="1"/>
  <c r="AC17" i="12" s="1"/>
  <c r="AF11" i="12" l="1"/>
  <c r="AF17" i="12" s="1"/>
  <c r="AH11" i="12" l="1"/>
  <c r="AH17" i="12" s="1"/>
  <c r="AI11" i="12" l="1"/>
  <c r="AI17" i="1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YEN</author>
  </authors>
  <commentList>
    <comment ref="AI4" authorId="0" shapeId="0" xr:uid="{00000000-0006-0000-0200-000001000000}">
      <text>
        <r>
          <rPr>
            <b/>
            <sz val="9"/>
            <rFont val="Tahoma"/>
            <family val="2"/>
          </rPr>
          <t>Tổng số ngày làm việc trong tháng</t>
        </r>
        <r>
          <rPr>
            <sz val="9"/>
            <rFont val="Tahoma"/>
            <family val="2"/>
          </rPr>
          <t xml:space="preserve">
</t>
        </r>
      </text>
    </comment>
    <comment ref="AJ4" authorId="0" shapeId="0" xr:uid="{00000000-0006-0000-0200-000002000000}">
      <text>
        <r>
          <rPr>
            <sz val="9"/>
            <rFont val="Tahoma"/>
            <family val="2"/>
          </rPr>
          <t xml:space="preserve">Điền số ngày nghỉ phép và nghỉ hưởng lương như nghỉ lễ, nghỉ kết hôn, tang lễ,...
</t>
        </r>
      </text>
    </comment>
    <comment ref="AL4" authorId="0" shapeId="0" xr:uid="{00000000-0006-0000-0200-000003000000}">
      <text>
        <r>
          <rPr>
            <sz val="9"/>
            <rFont val="Tahoma"/>
            <family val="2"/>
          </rPr>
          <t>Điền số ngày lễ có đi làm trong tháng</t>
        </r>
      </text>
    </comment>
    <comment ref="J6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YEN:</t>
        </r>
        <r>
          <rPr>
            <sz val="9"/>
            <color indexed="81"/>
            <rFont val="Tahoma"/>
            <family val="2"/>
          </rPr>
          <t xml:space="preserve">
Họp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YEN</author>
  </authors>
  <commentList>
    <comment ref="E27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YEN:</t>
        </r>
        <r>
          <rPr>
            <sz val="9"/>
            <color indexed="81"/>
            <rFont val="Tahoma"/>
            <family val="2"/>
          </rPr>
          <t xml:space="preserve">
của CHT và Thu ngân</t>
        </r>
      </text>
    </comment>
  </commentList>
</comments>
</file>

<file path=xl/sharedStrings.xml><?xml version="1.0" encoding="utf-8"?>
<sst xmlns="http://schemas.openxmlformats.org/spreadsheetml/2006/main" count="614" uniqueCount="304">
  <si>
    <t>STT</t>
  </si>
  <si>
    <t>HỌ VÀ TÊN</t>
  </si>
  <si>
    <t>CHỨC VỤ</t>
  </si>
  <si>
    <t>Ngày đi làm</t>
  </si>
  <si>
    <t>Xác nhận</t>
  </si>
  <si>
    <t>Ghi chú</t>
  </si>
  <si>
    <t>P. HCNS</t>
  </si>
  <si>
    <t>Công chuẩn</t>
  </si>
  <si>
    <t>PHÒNG BAN</t>
  </si>
  <si>
    <t>Tăng ca ngày thường</t>
  </si>
  <si>
    <t>Tăng ca ngày lễ</t>
  </si>
  <si>
    <t>Tổng số giờ tăng ca</t>
  </si>
  <si>
    <t>Tổng số tiền tăng ca</t>
  </si>
  <si>
    <t xml:space="preserve">GIÁM ĐỐC </t>
  </si>
  <si>
    <t>QL. KHỐI CỬA HÀNG</t>
  </si>
  <si>
    <t>NGƯỜI LẬP BIỂU</t>
  </si>
  <si>
    <t xml:space="preserve">CÔNG TY TNHH ĐẦU TƯ VIỆT BỘ </t>
  </si>
  <si>
    <t>MST:0108729006</t>
  </si>
  <si>
    <t xml:space="preserve">Họ và tên </t>
  </si>
  <si>
    <t xml:space="preserve">Chức vụ </t>
  </si>
  <si>
    <t>%Đạt</t>
  </si>
  <si>
    <t xml:space="preserve">Hệ số chức vụ </t>
  </si>
  <si>
    <t>Ngày công thực tế</t>
  </si>
  <si>
    <t>Ngày công chuẩn</t>
  </si>
  <si>
    <t xml:space="preserve">Lương doanh số </t>
  </si>
  <si>
    <t>Ký tên</t>
  </si>
  <si>
    <t xml:space="preserve">TỔNG </t>
  </si>
  <si>
    <t xml:space="preserve">CÔNG THỨC TÍNH HH CỦA NHÂN VIÊN CỬA HÀNG </t>
  </si>
  <si>
    <t>1. Hoa hồng của cá nhân nhân viên không phải NVBH= Hoa hồng của cả cửa hàng ÷ Tổng hệ số cả cửa hàng X Hệ số tương ứng với chức vụ X Ngày công thực tế ÷ Ngày công chuẩn
Hoa hồng được tính khi ngày công thực tế &gt;= 7 ngày</t>
  </si>
  <si>
    <t>2. Hoa hồng của cá nhân nhân viên bán hàng= (Hoa hồng cả cửa hàng – Hoa hồng của nhân viên không phải NVBH)× tỉ lệ bán hàng của cá nhân</t>
  </si>
  <si>
    <t>Tỉ lệ hoa hồng dưới mức 100%</t>
  </si>
  <si>
    <t>Tỉ lệ hoa hồng vượt mức 100%</t>
  </si>
  <si>
    <t>Tổng hệ số của cửa hàng</t>
  </si>
  <si>
    <t>Tổng Hoa hồng của cả cửa hàng</t>
  </si>
  <si>
    <t>Tổng Hoa hồng của tất cả các nhân viên không phải nhân viên bán hàng:</t>
  </si>
  <si>
    <t>Tổng Hoa hồng nhân viên BH</t>
  </si>
  <si>
    <t>QUẢN LÝ KHỐI CỬA HÀNG</t>
  </si>
  <si>
    <t>THƯỞNG CHUYÊN CẦN</t>
  </si>
  <si>
    <t>Xác  
nhận</t>
  </si>
  <si>
    <t>TRƯỞNG PHÒNG</t>
  </si>
  <si>
    <t xml:space="preserve">Ngày nghỉ hàng tuần: tích 0 và đổ màu </t>
  </si>
  <si>
    <t>3. Điền dữ liệu vào các ô màu</t>
  </si>
  <si>
    <t>Tăng ca ngày nghỉ hàng tuần</t>
  </si>
  <si>
    <t xml:space="preserve">Tăng ca ngày lễ </t>
  </si>
  <si>
    <t>Tăng ca ngày nghỉ</t>
  </si>
  <si>
    <t>CÔNG CHUẨN</t>
  </si>
  <si>
    <t>Ngày nghỉ phép có hưởng lương: tích P và đổ màu</t>
  </si>
  <si>
    <t>Ghi chú:  + Đối với nhân viên mới trong tháng/nghỉ việc trong tháng ghi chú như hướng dẫn</t>
  </si>
  <si>
    <t xml:space="preserve"> + Ô có công thức vui lòng không chỉnh sửa</t>
  </si>
  <si>
    <t>Nghỉ thai sản: tích "TS" (áp dụng cả với TH nam có vợ sinh con)</t>
  </si>
  <si>
    <t>TH Nghỉ hưởng lương khác: Kết hôn tích "KH" , Tang lễ bố/mẹ/con tích TL và đổ màu</t>
  </si>
  <si>
    <t>Nghỉ P + Nghỉ Hưởng lương</t>
  </si>
  <si>
    <t>Ngày công chuẩn trong tháng:</t>
  </si>
  <si>
    <t xml:space="preserve">HỌ VÀ TÊN </t>
  </si>
  <si>
    <t>NGÀY VÀO</t>
  </si>
  <si>
    <t xml:space="preserve">SỐ NGÀY CÔNG CHUẨN </t>
  </si>
  <si>
    <t>TỔNG NGÀY CÔNG</t>
  </si>
  <si>
    <t>TRỢ CẤP CỬA HÀNG LỚN</t>
  </si>
  <si>
    <t>TỔNG THU NHẬP TRÊN HĐLĐ</t>
  </si>
  <si>
    <t>LƯƠNG TRÊN NGÀY CÔNG CHÍNH THỨC</t>
  </si>
  <si>
    <t>LƯƠNG TRÊN NGÀY CÔNG THỬ VIỆC</t>
  </si>
  <si>
    <t>HOA HỒNG BÁN HÀNG</t>
  </si>
  <si>
    <t>THÂM NIÊN</t>
  </si>
  <si>
    <t>TĂNG CA</t>
  </si>
  <si>
    <t>TỔNG THU NHẬP</t>
  </si>
  <si>
    <t>TRỪ BHXH</t>
  </si>
  <si>
    <t>TRỪ PHÍ CÔNG ĐOÀN</t>
  </si>
  <si>
    <t>TRỪ THUẾ TNCN</t>
  </si>
  <si>
    <t>TRỪ ĐẶT CỌC</t>
  </si>
  <si>
    <t>TỔNG GIẢM TRỪ</t>
  </si>
  <si>
    <t>THỰC LĨNH</t>
  </si>
  <si>
    <t>CÔNG CHÍNH THỨC</t>
  </si>
  <si>
    <t>CÔNG THỬ VIỆC</t>
  </si>
  <si>
    <t>PHỤ CẤP</t>
  </si>
  <si>
    <t>MÃ NV</t>
  </si>
  <si>
    <t>HOA HỒNG BÁN HÀNG  CỬA HÀNG XTEP ROYAL CITY</t>
  </si>
  <si>
    <t>TRUY THU</t>
  </si>
  <si>
    <t>VB00005</t>
  </si>
  <si>
    <t>NGUYỄN THỊ MAI HOA</t>
  </si>
  <si>
    <t>Tăng ca đêm</t>
  </si>
  <si>
    <t>Ngày đóng cửa: tích ĐC</t>
  </si>
  <si>
    <t>Ngày đóng cửa</t>
  </si>
  <si>
    <t>ĐÀO THỊ THU HƯƠNG</t>
  </si>
  <si>
    <t>LƯƠNG CƠ BẢN</t>
  </si>
  <si>
    <t>CÔNG CH ĐÓNG CỬA</t>
  </si>
  <si>
    <t>LƯƠNG NGÀY CH ĐÓNG CỬA</t>
  </si>
  <si>
    <t>GHI CHÚ</t>
  </si>
  <si>
    <t>Nghỉ không lương: tích N và đổ màu</t>
  </si>
  <si>
    <t>THỰC CHI</t>
  </si>
  <si>
    <t>CHT CC</t>
  </si>
  <si>
    <t>NGUYỄN THỊ BẮC</t>
  </si>
  <si>
    <t>BẢNG LƯƠNG CỬA HÀNG ROYAL</t>
  </si>
  <si>
    <t>LƯƠNG NGÀY LỄ</t>
  </si>
  <si>
    <t>Công ngày lễ
(Số ngày lễ đi làm)</t>
  </si>
  <si>
    <t>Tổng công theo giờ</t>
  </si>
  <si>
    <t>Tổng công theo ngày</t>
  </si>
  <si>
    <t>Số lần đi muộn/về sớm</t>
  </si>
  <si>
    <t>Thưởng chuyên cần</t>
  </si>
  <si>
    <t>Ngày lễ: tích NL (nếu không có ca) hoặc tích 8 (nếu có ca) và đổ màu</t>
  </si>
  <si>
    <t>HOÀN THUẾ</t>
  </si>
  <si>
    <t>Tổng giờ tính lương T11</t>
  </si>
  <si>
    <t>Tổng giờ dư chuyển sang T12</t>
  </si>
  <si>
    <t>Tổng số giờ tăng ca t11</t>
  </si>
  <si>
    <t>không in 3 cột này</t>
  </si>
  <si>
    <t>THƯỞNG BÁN HÀNG</t>
  </si>
  <si>
    <t>THƯỞNG KHÁC</t>
  </si>
  <si>
    <t>VB00491</t>
  </si>
  <si>
    <t>NGUYỄN THỊ NHƯ</t>
  </si>
  <si>
    <t>NVBH SC</t>
  </si>
  <si>
    <t xml:space="preserve">     NGƯỜI LẬP BIỂU </t>
  </si>
  <si>
    <t xml:space="preserve">NGUYỄN THỊ BẮC </t>
  </si>
  <si>
    <t>NVBH TC</t>
  </si>
  <si>
    <t>Tổng số giờ tăng ca t10</t>
  </si>
  <si>
    <t>Tổng giờ tính lương T10</t>
  </si>
  <si>
    <t>Tổng giờ dư chuyển sang T11</t>
  </si>
  <si>
    <t>Tổng số giờ tăng ca t12</t>
  </si>
  <si>
    <t>Tổng giờ tính lương T12</t>
  </si>
  <si>
    <t>Tổng giờ dư chuyển sang T1.2026</t>
  </si>
  <si>
    <t>VŨ THỊ TRÀ GIANG</t>
  </si>
  <si>
    <t>VB00098</t>
  </si>
  <si>
    <t>BÙI THỊ HOÀI</t>
  </si>
  <si>
    <t>PHÙNG THỊ THU HÀ</t>
  </si>
  <si>
    <t>VB00687</t>
  </si>
  <si>
    <t>HOÀNG THU TRANG</t>
  </si>
  <si>
    <t>VB00688</t>
  </si>
  <si>
    <t>9:00 - 17:00
14:00 - 22:00
12:00 - 20:00</t>
  </si>
  <si>
    <t>THƯỞNG THI ĐUA</t>
  </si>
  <si>
    <t xml:space="preserve"> THÁNG 06/2026</t>
  </si>
  <si>
    <t>BẢNG CHẤM CÔNG CỬA HÀNG XTEP ROYAL CITY 
THÁNG 06/2026</t>
  </si>
  <si>
    <t>BẢNG CHẤM CÔNG TĂNG CA CỬA HÀNG XTEP ROYAL CITY
THÁNG 06/2026</t>
  </si>
  <si>
    <t>Tháng 06/2026</t>
  </si>
  <si>
    <t>Chỉ tiêu doanh số
 T06.2026</t>
  </si>
  <si>
    <t>Doanh số bán hàng thực tế  
T06.2026</t>
  </si>
  <si>
    <t>HH cả cửa hàng tháng 06</t>
  </si>
  <si>
    <t>HH toàn bộ nhân viên bán hàng  tháng 06</t>
  </si>
  <si>
    <t>LÊ NGỌC NHI</t>
  </si>
  <si>
    <t>VB00707</t>
  </si>
  <si>
    <t>Đơn vị: XTEP VIET NAM</t>
  </si>
  <si>
    <t xml:space="preserve">Địa chỉ: </t>
  </si>
  <si>
    <t>BẢNG THỐNG KÊ CHẤM CÔNG</t>
  </si>
  <si>
    <t>Từ ngày 01/06/2026 đến ngày 30/06/2026</t>
  </si>
  <si>
    <t>Mã nhân viên</t>
  </si>
  <si>
    <t>Tên nhân viên</t>
  </si>
  <si>
    <t/>
  </si>
  <si>
    <t>Ngày công</t>
  </si>
  <si>
    <t>Giờ công</t>
  </si>
  <si>
    <t>Vào trễ</t>
  </si>
  <si>
    <t>Ra sớm</t>
  </si>
  <si>
    <t>Tăng ca (giờ)</t>
  </si>
  <si>
    <t>Vắng KP</t>
  </si>
  <si>
    <t>Ngày nghỉ</t>
  </si>
  <si>
    <t>T2</t>
  </si>
  <si>
    <t>T3</t>
  </si>
  <si>
    <t>T4</t>
  </si>
  <si>
    <t>T5</t>
  </si>
  <si>
    <t>T6</t>
  </si>
  <si>
    <t>T7</t>
  </si>
  <si>
    <t>CN</t>
  </si>
  <si>
    <t>NT</t>
  </si>
  <si>
    <t>CT</t>
  </si>
  <si>
    <t>Lần</t>
  </si>
  <si>
    <t>Phút</t>
  </si>
  <si>
    <t>TC1</t>
  </si>
  <si>
    <t>TC2</t>
  </si>
  <si>
    <t>TC3</t>
  </si>
  <si>
    <t>OM</t>
  </si>
  <si>
    <t>TS</t>
  </si>
  <si>
    <t>R</t>
  </si>
  <si>
    <t>XTEP ROYAL CITY</t>
  </si>
  <si>
    <t>Nguyen Thi Mai Hoa</t>
  </si>
  <si>
    <t>Vào</t>
  </si>
  <si>
    <t>08:23</t>
  </si>
  <si>
    <t>08:19</t>
  </si>
  <si>
    <t>V</t>
  </si>
  <si>
    <t>08:38</t>
  </si>
  <si>
    <t>08:14</t>
  </si>
  <si>
    <t>08:30</t>
  </si>
  <si>
    <t>13:34</t>
  </si>
  <si>
    <t>08:10</t>
  </si>
  <si>
    <t>13:35</t>
  </si>
  <si>
    <t>08:31</t>
  </si>
  <si>
    <t>08:18</t>
  </si>
  <si>
    <t>08:28</t>
  </si>
  <si>
    <t>08:24</t>
  </si>
  <si>
    <t>13:27</t>
  </si>
  <si>
    <t>08:20</t>
  </si>
  <si>
    <t>13:33</t>
  </si>
  <si>
    <t>08:16</t>
  </si>
  <si>
    <t>08:49</t>
  </si>
  <si>
    <t>12:57</t>
  </si>
  <si>
    <t>08:32</t>
  </si>
  <si>
    <t>Ra</t>
  </si>
  <si>
    <t>17:01</t>
  </si>
  <si>
    <t>17:18</t>
  </si>
  <si>
    <t>17:02</t>
  </si>
  <si>
    <t>17:00</t>
  </si>
  <si>
    <t>22:01</t>
  </si>
  <si>
    <t>22:00</t>
  </si>
  <si>
    <t>22:02</t>
  </si>
  <si>
    <t>18:46</t>
  </si>
  <si>
    <t>17:04</t>
  </si>
  <si>
    <t>13:58</t>
  </si>
  <si>
    <t>17:03</t>
  </si>
  <si>
    <t>Vu Thi Tra Giang</t>
  </si>
  <si>
    <t>14:01</t>
  </si>
  <si>
    <t>14:51</t>
  </si>
  <si>
    <t>14:50</t>
  </si>
  <si>
    <t>08:44</t>
  </si>
  <si>
    <t>14:34</t>
  </si>
  <si>
    <t>14:45</t>
  </si>
  <si>
    <t>08:50</t>
  </si>
  <si>
    <t>16:02</t>
  </si>
  <si>
    <t>14:43</t>
  </si>
  <si>
    <t>08:51</t>
  </si>
  <si>
    <t>14:49</t>
  </si>
  <si>
    <t>14:16</t>
  </si>
  <si>
    <t>14:03</t>
  </si>
  <si>
    <t>08:55</t>
  </si>
  <si>
    <t>14:54</t>
  </si>
  <si>
    <t>08:53</t>
  </si>
  <si>
    <t>08:42</t>
  </si>
  <si>
    <t>14:47</t>
  </si>
  <si>
    <t>08:35</t>
  </si>
  <si>
    <t>22:03</t>
  </si>
  <si>
    <t>22:07</t>
  </si>
  <si>
    <t>15:54</t>
  </si>
  <si>
    <t>16:00</t>
  </si>
  <si>
    <t>16:01</t>
  </si>
  <si>
    <t>16:53</t>
  </si>
  <si>
    <t>16:07</t>
  </si>
  <si>
    <t>16:04</t>
  </si>
  <si>
    <t>16:16</t>
  </si>
  <si>
    <t>16:57</t>
  </si>
  <si>
    <t>22:04</t>
  </si>
  <si>
    <t>16:17</t>
  </si>
  <si>
    <t>16:20</t>
  </si>
  <si>
    <t>Nguyen Thi Nhu</t>
  </si>
  <si>
    <t>13:49</t>
  </si>
  <si>
    <t>13:53</t>
  </si>
  <si>
    <t>13:52</t>
  </si>
  <si>
    <t>12:48</t>
  </si>
  <si>
    <t>13:46</t>
  </si>
  <si>
    <t>08:54</t>
  </si>
  <si>
    <t>08:56</t>
  </si>
  <si>
    <t>13:50</t>
  </si>
  <si>
    <t>13:56</t>
  </si>
  <si>
    <t>13:51</t>
  </si>
  <si>
    <t>13:44</t>
  </si>
  <si>
    <t>22:12</t>
  </si>
  <si>
    <t>22:06</t>
  </si>
  <si>
    <t>22:16</t>
  </si>
  <si>
    <t>22:20</t>
  </si>
  <si>
    <t>22:05</t>
  </si>
  <si>
    <t>22:14</t>
  </si>
  <si>
    <t>Phung Thi Thu Ha</t>
  </si>
  <si>
    <t>13:06</t>
  </si>
  <si>
    <t>11:08</t>
  </si>
  <si>
    <t>08:40</t>
  </si>
  <si>
    <t>13:38</t>
  </si>
  <si>
    <t>12:45</t>
  </si>
  <si>
    <t>08:36</t>
  </si>
  <si>
    <t>08:41</t>
  </si>
  <si>
    <t>13:17</t>
  </si>
  <si>
    <t>08:39</t>
  </si>
  <si>
    <t>13:07</t>
  </si>
  <si>
    <t>08:43</t>
  </si>
  <si>
    <t>13:25</t>
  </si>
  <si>
    <t>12:41</t>
  </si>
  <si>
    <t>12:30</t>
  </si>
  <si>
    <t>13:41</t>
  </si>
  <si>
    <t>06:00</t>
  </si>
  <si>
    <t>13:16</t>
  </si>
  <si>
    <t>08:46</t>
  </si>
  <si>
    <t>22:09</t>
  </si>
  <si>
    <t>22:17</t>
  </si>
  <si>
    <t>22:18</t>
  </si>
  <si>
    <t>Hoang Thu Trang</t>
  </si>
  <si>
    <t>17:22</t>
  </si>
  <si>
    <t>13:48</t>
  </si>
  <si>
    <t>08:45</t>
  </si>
  <si>
    <t>08:48</t>
  </si>
  <si>
    <t>13:39</t>
  </si>
  <si>
    <t>13:31</t>
  </si>
  <si>
    <t>13:40</t>
  </si>
  <si>
    <t>13:55</t>
  </si>
  <si>
    <t>Off</t>
  </si>
  <si>
    <t>22:21</t>
  </si>
  <si>
    <t>22:08</t>
  </si>
  <si>
    <t>Le Ngoc Nhi</t>
  </si>
  <si>
    <t>13:37</t>
  </si>
  <si>
    <t>13:36</t>
  </si>
  <si>
    <t>14:05</t>
  </si>
  <si>
    <t>10:28</t>
  </si>
  <si>
    <t>13:57</t>
  </si>
  <si>
    <t>22:10</t>
  </si>
  <si>
    <t>Ghi chú:</t>
  </si>
  <si>
    <t>NT: Ngày thường, CT: Cuối tuần</t>
  </si>
  <si>
    <t>TC1: Tăng ca mức 1, TC2: Tăng ca mức 2, TC3: Tăng ca mức 3</t>
  </si>
  <si>
    <t xml:space="preserve">OM:Nghỉ ốm; TS:Nghỉ Thai Sản; R:Việc riêng có lương; </t>
  </si>
  <si>
    <t xml:space="preserve">V: Vắng (không có chấm công); Tr: Đi trễ; Sm: Về sớm; KR: Chỉ có giờ chấm công vào; KV: Chỉ có giờ chấm công ra; +: Tăng ca; X: Chấm công đúng giờ; </t>
  </si>
  <si>
    <t>Ngoài ra còn ký hiệu ghép của các kí hiệu đơn. Ví dụ: X+ là chấm công đúng giờ và có tăng ca</t>
  </si>
  <si>
    <t>P</t>
  </si>
  <si>
    <t>CHƯA NHẬN VIỆC</t>
  </si>
  <si>
    <t>NV MỚI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</si>
</sst>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3" formatCode="_(* #,##0.00_);_(* \(#,##0.00\);_(* &quot;-&quot;??_);_(@_)"/>
    <numFmt numFmtId="164" formatCode="_-* #,##0.00\ _₫_-;\-* #,##0.00\ _₫_-;_-* &quot;-&quot;??\ _₫_-;_-@_-"/>
    <numFmt numFmtId="165" formatCode="[$-409]dddd\,\ mmmm\ dd\,\ yyyy"/>
    <numFmt numFmtId="166" formatCode="_-* #,##0.00_-;\-* #,##0.00_-;_-* &quot;-&quot;??_-;_-@_-"/>
    <numFmt numFmtId="167" formatCode="_(* #,##0_);_(* \(#,##0\);_(* &quot;-&quot;??_);_(@_)"/>
    <numFmt numFmtId="168" formatCode="0.0_);[Red]\(0.0\)"/>
    <numFmt numFmtId="169" formatCode="_(* #,##0.0_);_(* \(#,##0.0\);_(* &quot;-&quot;??_);_(@_)"/>
    <numFmt numFmtId="170" formatCode="0_);[Red]\(0\)"/>
    <numFmt numFmtId="171" formatCode="_-* #,##0_-;\-* #,##0_-;_-* &quot;-&quot;??_-;_-@_-"/>
    <numFmt numFmtId="172" formatCode="0.0%"/>
    <numFmt numFmtId="173" formatCode="_-* #,##0.000\ _₫_-;\-* #,##0.000\ _₫_-;_-* &quot;-&quot;???\ _₫_-;_-@_-"/>
    <numFmt numFmtId="174" formatCode="dd"/>
    <numFmt numFmtId="175" formatCode="_-* #,##0.0\ _₫_-;\-* #,##0.0\ _₫_-;_-* &quot;-&quot;?\ _₫_-;_-@_-"/>
    <numFmt numFmtId="176" formatCode="#,##0_ ;\-#,##0\ "/>
    <numFmt numFmtId="177" formatCode="0.0;[Red]0.0"/>
  </numFmts>
  <fonts count="94">
    <font>
      <sz val="11"/>
      <color theme="1"/>
      <name val="Calibri"/>
      <charset val="134"/>
      <scheme val="minor"/>
    </font>
    <font>
      <sz val="11"/>
      <color theme="1"/>
      <name val="Times New Roman"/>
      <family val="1"/>
    </font>
    <font>
      <b/>
      <sz val="16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name val="Times New Roman"/>
      <family val="1"/>
    </font>
    <font>
      <b/>
      <sz val="10"/>
      <color theme="1"/>
      <name val="Times New Roman"/>
      <family val="1"/>
    </font>
    <font>
      <sz val="11"/>
      <name val="Times New Roman"/>
      <family val="1"/>
    </font>
    <font>
      <b/>
      <sz val="12"/>
      <name val="Times New Roman"/>
      <family val="1"/>
    </font>
    <font>
      <sz val="11"/>
      <color theme="1"/>
      <name val="Calibri"/>
      <family val="2"/>
      <scheme val="minor"/>
    </font>
    <font>
      <sz val="10"/>
      <name val="Helv"/>
      <charset val="134"/>
    </font>
    <font>
      <sz val="9"/>
      <name val="Tahoma"/>
      <family val="2"/>
    </font>
    <font>
      <b/>
      <sz val="9"/>
      <name val="Tahoma"/>
      <family val="2"/>
    </font>
    <font>
      <b/>
      <sz val="10"/>
      <name val="Times New Roman"/>
      <family val="1"/>
    </font>
    <font>
      <sz val="11"/>
      <color theme="1"/>
      <name val="Times New Roman"/>
      <family val="1"/>
    </font>
    <font>
      <b/>
      <sz val="11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sz val="10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indexed="8"/>
      <name val="Times New Roman"/>
      <family val="1"/>
    </font>
    <font>
      <sz val="8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rgb="FFFF0000"/>
      <name val="Times New Roman"/>
      <family val="1"/>
    </font>
    <font>
      <b/>
      <sz val="12"/>
      <color theme="1"/>
      <name val="Times New Roman"/>
      <family val="1"/>
    </font>
    <font>
      <sz val="13"/>
      <color theme="1"/>
      <name val="Times New Roman"/>
      <family val="1"/>
    </font>
    <font>
      <sz val="11"/>
      <color rgb="FFFF0000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indexed="8"/>
      <name val="等线"/>
      <charset val="134"/>
    </font>
    <font>
      <sz val="8"/>
      <name val="Times New Roman"/>
      <family val="1"/>
    </font>
    <font>
      <sz val="6"/>
      <color theme="1"/>
      <name val="Times New Roman"/>
      <family val="1"/>
    </font>
    <font>
      <b/>
      <sz val="14"/>
      <color indexed="8"/>
      <name val="Times New Roman"/>
      <family val="1"/>
    </font>
    <font>
      <b/>
      <i/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rgb="FFFF0000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0"/>
      <color rgb="FFFF0000"/>
      <name val="Times New Roman"/>
      <family val="1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2"/>
      <color rgb="FFFF0000"/>
      <name val="Times New Roman"/>
      <family val="1"/>
    </font>
    <font>
      <sz val="12"/>
      <name val="Times New Roman"/>
      <family val="1"/>
    </font>
    <font>
      <sz val="11"/>
      <color rgb="FFFF000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sz val="10"/>
      <name val="Arial"/>
      <family val="2"/>
    </font>
    <font>
      <b/>
      <sz val="8"/>
      <color theme="1"/>
      <name val="Times New Roman"/>
      <family val="1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1"/>
      <name val="Times New Roman"/>
      <family val="1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8"/>
      <color rgb="FFFF0000"/>
      <name val="Times New Roman"/>
      <family val="1"/>
    </font>
    <font>
      <sz val="8"/>
      <color rgb="FFFF0000"/>
      <name val="Times New Roman"/>
      <family val="1"/>
    </font>
    <font>
      <sz val="12"/>
      <color rgb="FFFF0000"/>
      <name val="Times New Roman"/>
      <family val="1"/>
    </font>
    <font>
      <b/>
      <sz val="10"/>
      <color rgb="FFFF0000"/>
      <name val="Times New Roman"/>
      <family val="1"/>
    </font>
    <font>
      <sz val="10"/>
      <name val="Arial"/>
    </font>
    <font>
      <b/>
      <sz val="8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8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 tint="0.79982909634693444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6765037995544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6969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/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</borders>
  <cellStyleXfs count="57">
    <xf numFmtId="0" fontId="0" fillId="0" borderId="0"/>
    <xf numFmtId="43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5" fontId="8" fillId="0" borderId="0"/>
    <xf numFmtId="0" fontId="8" fillId="0" borderId="0"/>
    <xf numFmtId="0" fontId="8" fillId="0" borderId="0"/>
    <xf numFmtId="165" fontId="9" fillId="0" borderId="0"/>
    <xf numFmtId="165" fontId="9" fillId="0" borderId="0"/>
    <xf numFmtId="165" fontId="9" fillId="0" borderId="0"/>
    <xf numFmtId="0" fontId="39" fillId="0" borderId="0"/>
    <xf numFmtId="0" fontId="40" fillId="0" borderId="0"/>
    <xf numFmtId="0" fontId="41" fillId="0" borderId="0"/>
    <xf numFmtId="0" fontId="42" fillId="0" borderId="0"/>
    <xf numFmtId="0" fontId="43" fillId="0" borderId="0"/>
    <xf numFmtId="0" fontId="44" fillId="0" borderId="0"/>
    <xf numFmtId="0" fontId="45" fillId="0" borderId="0"/>
    <xf numFmtId="0" fontId="46" fillId="0" borderId="0"/>
    <xf numFmtId="0" fontId="47" fillId="0" borderId="0"/>
    <xf numFmtId="0" fontId="48" fillId="0" borderId="0"/>
    <xf numFmtId="0" fontId="49" fillId="0" borderId="0"/>
    <xf numFmtId="0" fontId="50" fillId="0" borderId="0"/>
    <xf numFmtId="0" fontId="51" fillId="0" borderId="0"/>
    <xf numFmtId="0" fontId="52" fillId="0" borderId="0"/>
    <xf numFmtId="0" fontId="53" fillId="0" borderId="0"/>
    <xf numFmtId="0" fontId="54" fillId="0" borderId="0"/>
    <xf numFmtId="0" fontId="55" fillId="0" borderId="0"/>
    <xf numFmtId="0" fontId="56" fillId="0" borderId="0"/>
    <xf numFmtId="0" fontId="57" fillId="0" borderId="0"/>
    <xf numFmtId="0" fontId="58" fillId="0" borderId="0"/>
    <xf numFmtId="0" fontId="59" fillId="0" borderId="0"/>
    <xf numFmtId="0" fontId="60" fillId="0" borderId="0"/>
    <xf numFmtId="0" fontId="61" fillId="0" borderId="0"/>
    <xf numFmtId="0" fontId="62" fillId="0" borderId="0"/>
    <xf numFmtId="0" fontId="63" fillId="0" borderId="0"/>
    <xf numFmtId="0" fontId="64" fillId="0" borderId="0"/>
    <xf numFmtId="0" fontId="65" fillId="0" borderId="0"/>
    <xf numFmtId="0" fontId="66" fillId="0" borderId="0"/>
    <xf numFmtId="0" fontId="67" fillId="0" borderId="0"/>
    <xf numFmtId="0" fontId="68" fillId="0" borderId="0"/>
    <xf numFmtId="0" fontId="69" fillId="0" borderId="0"/>
    <xf numFmtId="0" fontId="8" fillId="0" borderId="0"/>
    <xf numFmtId="0" fontId="73" fillId="0" borderId="0"/>
    <xf numFmtId="0" fontId="74" fillId="0" borderId="0"/>
    <xf numFmtId="0" fontId="76" fillId="0" borderId="0"/>
    <xf numFmtId="164" fontId="8" fillId="0" borderId="0" applyFont="0" applyFill="0" applyBorder="0" applyAlignment="0" applyProtection="0"/>
    <xf numFmtId="0" fontId="76" fillId="0" borderId="0"/>
    <xf numFmtId="0" fontId="78" fillId="0" borderId="0"/>
    <xf numFmtId="0" fontId="79" fillId="0" borderId="0" applyBorder="0"/>
    <xf numFmtId="43" fontId="79" fillId="0" borderId="0" applyFont="0" applyFill="0" applyBorder="0" applyAlignment="0" applyProtection="0"/>
    <xf numFmtId="0" fontId="79" fillId="0" borderId="0" applyBorder="0"/>
    <xf numFmtId="0" fontId="82" fillId="0" borderId="0"/>
    <xf numFmtId="0" fontId="83" fillId="0" borderId="0"/>
    <xf numFmtId="0" fontId="8" fillId="0" borderId="0"/>
    <xf numFmtId="0" fontId="84" fillId="0" borderId="0"/>
    <xf numFmtId="0" fontId="89" fillId="0" borderId="0"/>
  </cellStyleXfs>
  <cellXfs count="440">
    <xf numFmtId="0" fontId="0" fillId="0" borderId="0" xfId="0"/>
    <xf numFmtId="0" fontId="13" fillId="0" borderId="0" xfId="0" applyFont="1"/>
    <xf numFmtId="0" fontId="13" fillId="0" borderId="1" xfId="0" applyFont="1" applyBorder="1" applyAlignment="1">
      <alignment horizontal="center" vertical="center"/>
    </xf>
    <xf numFmtId="168" fontId="16" fillId="3" borderId="1" xfId="8" applyNumberFormat="1" applyFont="1" applyFill="1" applyBorder="1" applyAlignment="1" applyProtection="1">
      <alignment horizontal="center" vertical="center"/>
      <protection locked="0"/>
    </xf>
    <xf numFmtId="0" fontId="13" fillId="3" borderId="0" xfId="0" applyFont="1" applyFill="1"/>
    <xf numFmtId="0" fontId="16" fillId="3" borderId="0" xfId="0" applyFont="1" applyFill="1"/>
    <xf numFmtId="0" fontId="16" fillId="3" borderId="0" xfId="0" applyFont="1" applyFill="1" applyAlignment="1"/>
    <xf numFmtId="0" fontId="13" fillId="3" borderId="0" xfId="0" applyFont="1" applyFill="1" applyAlignment="1">
      <alignment horizontal="center" vertical="center"/>
    </xf>
    <xf numFmtId="0" fontId="13" fillId="0" borderId="0" xfId="0" applyFont="1" applyAlignment="1">
      <alignment horizontal="center" vertical="center"/>
    </xf>
    <xf numFmtId="165" fontId="19" fillId="0" borderId="0" xfId="5" applyFont="1" applyFill="1" applyAlignment="1">
      <alignment horizontal="center"/>
    </xf>
    <xf numFmtId="3" fontId="16" fillId="3" borderId="1" xfId="1" applyNumberFormat="1" applyFont="1" applyFill="1" applyBorder="1" applyAlignment="1" applyProtection="1">
      <alignment horizontal="center" vertical="center"/>
      <protection locked="0"/>
    </xf>
    <xf numFmtId="3" fontId="16" fillId="3" borderId="1" xfId="8" applyNumberFormat="1" applyFont="1" applyFill="1" applyBorder="1" applyAlignment="1" applyProtection="1">
      <alignment horizontal="center" vertical="center"/>
      <protection locked="0"/>
    </xf>
    <xf numFmtId="0" fontId="20" fillId="0" borderId="1" xfId="0" applyFont="1" applyBorder="1" applyAlignment="1">
      <alignment horizontal="center" wrapText="1"/>
    </xf>
    <xf numFmtId="0" fontId="13" fillId="3" borderId="1" xfId="0" applyFont="1" applyFill="1" applyBorder="1"/>
    <xf numFmtId="0" fontId="21" fillId="0" borderId="0" xfId="0" applyFont="1" applyFill="1" applyProtection="1">
      <protection locked="0"/>
    </xf>
    <xf numFmtId="0" fontId="22" fillId="0" borderId="0" xfId="0" applyFont="1" applyFill="1" applyProtection="1">
      <protection locked="0"/>
    </xf>
    <xf numFmtId="0" fontId="23" fillId="0" borderId="1" xfId="0" applyFont="1" applyFill="1" applyBorder="1" applyAlignment="1" applyProtection="1">
      <alignment horizontal="center" vertical="center" wrapText="1"/>
      <protection locked="0"/>
    </xf>
    <xf numFmtId="0" fontId="23" fillId="0" borderId="1" xfId="0" applyFont="1" applyFill="1" applyBorder="1" applyAlignment="1" applyProtection="1">
      <alignment vertical="center" wrapText="1"/>
      <protection locked="0"/>
    </xf>
    <xf numFmtId="0" fontId="18" fillId="0" borderId="1" xfId="0" applyFont="1" applyFill="1" applyBorder="1" applyProtection="1">
      <protection locked="0"/>
    </xf>
    <xf numFmtId="0" fontId="17" fillId="0" borderId="0" xfId="0" applyFont="1" applyFill="1" applyProtection="1">
      <protection locked="0"/>
    </xf>
    <xf numFmtId="0" fontId="24" fillId="0" borderId="1" xfId="0" applyFont="1" applyFill="1" applyBorder="1" applyAlignment="1" applyProtection="1">
      <alignment vertical="center"/>
    </xf>
    <xf numFmtId="9" fontId="24" fillId="0" borderId="1" xfId="0" applyNumberFormat="1" applyFont="1" applyFill="1" applyBorder="1" applyAlignment="1" applyProtection="1">
      <alignment vertical="center"/>
    </xf>
    <xf numFmtId="3" fontId="24" fillId="0" borderId="1" xfId="0" applyNumberFormat="1" applyFont="1" applyFill="1" applyBorder="1" applyAlignment="1" applyProtection="1">
      <alignment vertical="center"/>
    </xf>
    <xf numFmtId="167" fontId="24" fillId="0" borderId="1" xfId="0" applyNumberFormat="1" applyFont="1" applyFill="1" applyBorder="1" applyAlignment="1" applyProtection="1">
      <alignment vertical="center"/>
    </xf>
    <xf numFmtId="0" fontId="25" fillId="0" borderId="0" xfId="0" applyFont="1" applyFill="1" applyProtection="1">
      <protection locked="0"/>
    </xf>
    <xf numFmtId="0" fontId="16" fillId="3" borderId="0" xfId="0" applyFont="1" applyFill="1" applyAlignment="1">
      <alignment horizontal="center"/>
    </xf>
    <xf numFmtId="0" fontId="14" fillId="3" borderId="0" xfId="0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174" fontId="14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30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20" fillId="3" borderId="0" xfId="0" applyFont="1" applyFill="1" applyAlignment="1">
      <alignment vertical="center"/>
    </xf>
    <xf numFmtId="0" fontId="15" fillId="3" borderId="0" xfId="0" applyFont="1" applyFill="1" applyAlignment="1">
      <alignment vertical="center"/>
    </xf>
    <xf numFmtId="170" fontId="15" fillId="3" borderId="0" xfId="0" applyNumberFormat="1" applyFont="1" applyFill="1" applyAlignment="1">
      <alignment vertical="center"/>
    </xf>
    <xf numFmtId="0" fontId="17" fillId="3" borderId="0" xfId="0" applyFont="1" applyFill="1" applyAlignment="1">
      <alignment vertical="center"/>
    </xf>
    <xf numFmtId="0" fontId="17" fillId="7" borderId="1" xfId="0" applyFont="1" applyFill="1" applyBorder="1" applyAlignment="1">
      <alignment horizontal="center" vertical="center"/>
    </xf>
    <xf numFmtId="0" fontId="15" fillId="3" borderId="0" xfId="0" applyFont="1" applyFill="1" applyBorder="1" applyAlignment="1">
      <alignment horizontal="left" vertical="center" wrapText="1"/>
    </xf>
    <xf numFmtId="0" fontId="17" fillId="2" borderId="1" xfId="0" applyFont="1" applyFill="1" applyBorder="1" applyAlignment="1">
      <alignment horizontal="center" vertical="center"/>
    </xf>
    <xf numFmtId="0" fontId="17" fillId="8" borderId="1" xfId="0" applyFont="1" applyFill="1" applyBorder="1" applyAlignment="1">
      <alignment horizontal="center" vertical="center"/>
    </xf>
    <xf numFmtId="0" fontId="29" fillId="3" borderId="0" xfId="0" applyFont="1" applyFill="1" applyAlignment="1">
      <alignment vertical="center"/>
    </xf>
    <xf numFmtId="0" fontId="17" fillId="6" borderId="1" xfId="0" applyFont="1" applyFill="1" applyBorder="1" applyAlignment="1">
      <alignment horizontal="center" vertical="center"/>
    </xf>
    <xf numFmtId="170" fontId="29" fillId="3" borderId="0" xfId="0" applyNumberFormat="1" applyFont="1" applyFill="1" applyAlignment="1">
      <alignment vertical="center"/>
    </xf>
    <xf numFmtId="0" fontId="20" fillId="3" borderId="0" xfId="0" applyFont="1" applyFill="1" applyAlignment="1">
      <alignment horizontal="center" vertical="center"/>
    </xf>
    <xf numFmtId="0" fontId="28" fillId="0" borderId="0" xfId="0" applyNumberFormat="1" applyFont="1" applyFill="1" applyBorder="1" applyAlignment="1" applyProtection="1"/>
    <xf numFmtId="0" fontId="20" fillId="0" borderId="0" xfId="0" applyFont="1" applyAlignment="1">
      <alignment horizontal="center" vertical="center"/>
    </xf>
    <xf numFmtId="0" fontId="7" fillId="3" borderId="0" xfId="0" applyFont="1" applyFill="1" applyAlignment="1">
      <alignment vertical="center"/>
    </xf>
    <xf numFmtId="174" fontId="12" fillId="3" borderId="1" xfId="1" applyNumberFormat="1" applyFont="1" applyFill="1" applyBorder="1" applyAlignment="1" applyProtection="1">
      <alignment horizontal="center" vertical="center" wrapText="1"/>
      <protection locked="0"/>
    </xf>
    <xf numFmtId="0" fontId="14" fillId="3" borderId="0" xfId="0" applyFont="1" applyFill="1" applyAlignment="1">
      <alignment vertical="center"/>
    </xf>
    <xf numFmtId="0" fontId="18" fillId="0" borderId="0" xfId="0" applyFont="1" applyFill="1" applyProtection="1">
      <protection locked="0"/>
    </xf>
    <xf numFmtId="0" fontId="18" fillId="0" borderId="0" xfId="0" applyFont="1"/>
    <xf numFmtId="3" fontId="18" fillId="0" borderId="0" xfId="0" applyNumberFormat="1" applyFont="1" applyFill="1" applyBorder="1" applyAlignment="1" applyProtection="1">
      <protection locked="0"/>
    </xf>
    <xf numFmtId="0" fontId="3" fillId="0" borderId="0" xfId="0" applyFont="1" applyFill="1" applyAlignment="1" applyProtection="1">
      <alignment horizontal="left"/>
      <protection locked="0"/>
    </xf>
    <xf numFmtId="0" fontId="16" fillId="3" borderId="0" xfId="0" applyFont="1" applyFill="1" applyAlignment="1">
      <alignment horizontal="center"/>
    </xf>
    <xf numFmtId="165" fontId="31" fillId="0" borderId="0" xfId="5" applyFont="1" applyFill="1" applyBorder="1" applyAlignment="1">
      <alignment horizontal="center" wrapText="1"/>
    </xf>
    <xf numFmtId="168" fontId="6" fillId="0" borderId="1" xfId="9" applyNumberFormat="1" applyFont="1" applyFill="1" applyBorder="1" applyAlignment="1">
      <alignment horizontal="center" vertical="center"/>
    </xf>
    <xf numFmtId="165" fontId="31" fillId="0" borderId="7" xfId="5" applyFont="1" applyBorder="1" applyAlignment="1">
      <alignment vertical="center" wrapText="1"/>
    </xf>
    <xf numFmtId="0" fontId="32" fillId="3" borderId="0" xfId="0" applyFont="1" applyFill="1" applyAlignment="1">
      <alignment vertical="center"/>
    </xf>
    <xf numFmtId="0" fontId="20" fillId="10" borderId="1" xfId="0" applyFont="1" applyFill="1" applyBorder="1" applyAlignment="1">
      <alignment vertical="center"/>
    </xf>
    <xf numFmtId="0" fontId="17" fillId="3" borderId="1" xfId="0" applyFont="1" applyFill="1" applyBorder="1" applyAlignment="1">
      <alignment horizontal="center" vertical="center"/>
    </xf>
    <xf numFmtId="0" fontId="17" fillId="11" borderId="1" xfId="0" applyFont="1" applyFill="1" applyBorder="1" applyAlignment="1">
      <alignment horizontal="center" vertical="center"/>
    </xf>
    <xf numFmtId="0" fontId="33" fillId="0" borderId="0" xfId="0" applyFont="1" applyProtection="1">
      <protection locked="0"/>
    </xf>
    <xf numFmtId="0" fontId="33" fillId="0" borderId="0" xfId="0" applyFont="1" applyFill="1" applyProtection="1">
      <protection locked="0"/>
    </xf>
    <xf numFmtId="0" fontId="34" fillId="0" borderId="0" xfId="0" applyFont="1" applyProtection="1">
      <protection locked="0"/>
    </xf>
    <xf numFmtId="167" fontId="33" fillId="0" borderId="0" xfId="1" applyNumberFormat="1" applyFont="1" applyProtection="1">
      <protection locked="0"/>
    </xf>
    <xf numFmtId="43" fontId="33" fillId="0" borderId="0" xfId="0" applyNumberFormat="1" applyFont="1" applyProtection="1">
      <protection locked="0"/>
    </xf>
    <xf numFmtId="167" fontId="33" fillId="0" borderId="0" xfId="0" applyNumberFormat="1" applyFont="1" applyProtection="1">
      <protection locked="0"/>
    </xf>
    <xf numFmtId="0" fontId="35" fillId="0" borderId="0" xfId="0" applyFont="1" applyProtection="1">
      <protection locked="0"/>
    </xf>
    <xf numFmtId="0" fontId="33" fillId="0" borderId="0" xfId="0" applyFont="1" applyAlignment="1" applyProtection="1">
      <alignment horizontal="center"/>
      <protection locked="0"/>
    </xf>
    <xf numFmtId="0" fontId="36" fillId="0" borderId="0" xfId="0" applyFont="1" applyProtection="1">
      <protection locked="0"/>
    </xf>
    <xf numFmtId="0" fontId="36" fillId="0" borderId="0" xfId="0" applyFont="1" applyFill="1" applyProtection="1">
      <protection locked="0"/>
    </xf>
    <xf numFmtId="0" fontId="37" fillId="0" borderId="0" xfId="0" applyFont="1" applyProtection="1">
      <protection locked="0"/>
    </xf>
    <xf numFmtId="167" fontId="36" fillId="0" borderId="0" xfId="1" applyNumberFormat="1" applyFont="1" applyProtection="1">
      <protection locked="0"/>
    </xf>
    <xf numFmtId="0" fontId="33" fillId="0" borderId="0" xfId="0" applyFont="1" applyFill="1" applyBorder="1" applyAlignment="1" applyProtection="1">
      <protection locked="0"/>
    </xf>
    <xf numFmtId="0" fontId="33" fillId="0" borderId="0" xfId="0" applyFont="1" applyAlignment="1" applyProtection="1">
      <alignment horizontal="left"/>
      <protection locked="0"/>
    </xf>
    <xf numFmtId="167" fontId="36" fillId="0" borderId="0" xfId="1" applyNumberFormat="1" applyFont="1" applyFill="1" applyBorder="1" applyProtection="1">
      <protection locked="0"/>
    </xf>
    <xf numFmtId="0" fontId="36" fillId="0" borderId="0" xfId="0" applyFont="1" applyFill="1" applyBorder="1" applyProtection="1">
      <protection locked="0"/>
    </xf>
    <xf numFmtId="0" fontId="37" fillId="0" borderId="0" xfId="0" applyFont="1" applyFill="1" applyBorder="1" applyProtection="1">
      <protection locked="0"/>
    </xf>
    <xf numFmtId="0" fontId="36" fillId="0" borderId="0" xfId="0" applyFont="1" applyFill="1" applyBorder="1" applyAlignment="1" applyProtection="1">
      <protection locked="0"/>
    </xf>
    <xf numFmtId="167" fontId="36" fillId="0" borderId="0" xfId="1" applyNumberFormat="1" applyFont="1" applyFill="1" applyBorder="1" applyAlignment="1" applyProtection="1">
      <protection locked="0"/>
    </xf>
    <xf numFmtId="0" fontId="36" fillId="0" borderId="0" xfId="0" applyFont="1" applyFill="1" applyBorder="1" applyAlignment="1" applyProtection="1">
      <alignment wrapText="1"/>
      <protection locked="0"/>
    </xf>
    <xf numFmtId="3" fontId="36" fillId="0" borderId="0" xfId="0" applyNumberFormat="1" applyFont="1" applyFill="1" applyBorder="1" applyAlignment="1" applyProtection="1">
      <protection locked="0"/>
    </xf>
    <xf numFmtId="167" fontId="36" fillId="0" borderId="0" xfId="0" applyNumberFormat="1" applyFont="1" applyFill="1" applyBorder="1" applyAlignment="1" applyProtection="1">
      <protection locked="0"/>
    </xf>
    <xf numFmtId="0" fontId="5" fillId="0" borderId="0" xfId="0" applyFont="1" applyAlignment="1" applyProtection="1">
      <alignment horizontal="center" vertical="center" wrapText="1"/>
      <protection locked="0"/>
    </xf>
    <xf numFmtId="0" fontId="4" fillId="0" borderId="1" xfId="0" applyFont="1" applyFill="1" applyBorder="1" applyAlignment="1" applyProtection="1">
      <alignment vertical="center" wrapText="1"/>
      <protection locked="0"/>
    </xf>
    <xf numFmtId="0" fontId="4" fillId="0" borderId="1" xfId="0" applyFont="1" applyFill="1" applyBorder="1" applyAlignment="1" applyProtection="1">
      <alignment horizontal="center" vertical="center" wrapText="1"/>
      <protection locked="0"/>
    </xf>
    <xf numFmtId="0" fontId="5" fillId="3" borderId="1" xfId="0" applyFont="1" applyFill="1" applyBorder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horizontal="center" vertical="center" wrapText="1"/>
      <protection locked="0"/>
    </xf>
    <xf numFmtId="0" fontId="17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vertical="center"/>
    </xf>
    <xf numFmtId="0" fontId="17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14" fontId="33" fillId="0" borderId="0" xfId="0" applyNumberFormat="1" applyFont="1" applyFill="1" applyBorder="1" applyAlignment="1" applyProtection="1">
      <protection locked="0"/>
    </xf>
    <xf numFmtId="168" fontId="6" fillId="14" borderId="1" xfId="8" applyNumberFormat="1" applyFont="1" applyFill="1" applyBorder="1" applyAlignment="1" applyProtection="1">
      <alignment horizontal="center" vertical="center"/>
      <protection locked="0"/>
    </xf>
    <xf numFmtId="171" fontId="19" fillId="3" borderId="7" xfId="2" applyNumberFormat="1" applyFont="1" applyFill="1" applyBorder="1" applyAlignment="1">
      <alignment vertical="center" wrapText="1"/>
    </xf>
    <xf numFmtId="0" fontId="17" fillId="0" borderId="0" xfId="0" applyFont="1" applyAlignment="1" applyProtection="1">
      <alignment vertical="center"/>
      <protection locked="0"/>
    </xf>
    <xf numFmtId="0" fontId="5" fillId="0" borderId="0" xfId="0" applyFont="1" applyFill="1" applyAlignment="1" applyProtection="1">
      <alignment horizontal="center" vertical="center"/>
    </xf>
    <xf numFmtId="0" fontId="17" fillId="0" borderId="0" xfId="0" applyFont="1" applyFill="1" applyAlignment="1" applyProtection="1">
      <alignment vertical="center"/>
      <protection locked="0"/>
    </xf>
    <xf numFmtId="0" fontId="38" fillId="0" borderId="0" xfId="0" applyFont="1" applyAlignment="1" applyProtection="1">
      <alignment vertical="center"/>
      <protection locked="0"/>
    </xf>
    <xf numFmtId="167" fontId="17" fillId="0" borderId="0" xfId="1" applyNumberFormat="1" applyFont="1" applyAlignment="1" applyProtection="1">
      <alignment vertical="center"/>
      <protection locked="0"/>
    </xf>
    <xf numFmtId="0" fontId="36" fillId="0" borderId="0" xfId="0" applyFont="1" applyAlignment="1" applyProtection="1">
      <alignment vertical="center"/>
      <protection locked="0"/>
    </xf>
    <xf numFmtId="3" fontId="14" fillId="3" borderId="1" xfId="1" applyNumberFormat="1" applyFont="1" applyFill="1" applyBorder="1" applyAlignment="1" applyProtection="1">
      <alignment horizontal="center" vertical="center"/>
      <protection locked="0"/>
    </xf>
    <xf numFmtId="0" fontId="3" fillId="3" borderId="0" xfId="0" applyFont="1" applyFill="1" applyAlignment="1">
      <alignment horizontal="center" vertical="center"/>
    </xf>
    <xf numFmtId="0" fontId="3" fillId="3" borderId="0" xfId="0" applyFont="1" applyFill="1"/>
    <xf numFmtId="0" fontId="14" fillId="3" borderId="0" xfId="0" applyFont="1" applyFill="1"/>
    <xf numFmtId="0" fontId="14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5" fillId="3" borderId="1" xfId="0" applyFont="1" applyFill="1" applyBorder="1" applyAlignment="1" applyProtection="1">
      <alignment horizontal="center" vertical="center" wrapText="1"/>
      <protection locked="0"/>
    </xf>
    <xf numFmtId="165" fontId="19" fillId="0" borderId="0" xfId="5" applyFont="1" applyFill="1" applyAlignment="1">
      <alignment horizontal="center" vertical="center"/>
    </xf>
    <xf numFmtId="1" fontId="19" fillId="0" borderId="0" xfId="5" applyNumberFormat="1" applyFont="1" applyFill="1" applyAlignment="1">
      <alignment horizontal="center" vertical="center"/>
    </xf>
    <xf numFmtId="0" fontId="35" fillId="0" borderId="0" xfId="0" applyFont="1" applyAlignment="1" applyProtection="1">
      <alignment horizontal="center"/>
      <protection locked="0"/>
    </xf>
    <xf numFmtId="0" fontId="13" fillId="0" borderId="0" xfId="0" applyFont="1" applyFill="1" applyAlignment="1">
      <alignment horizontal="center" vertical="center"/>
    </xf>
    <xf numFmtId="0" fontId="13" fillId="0" borderId="0" xfId="0" applyFont="1" applyFill="1"/>
    <xf numFmtId="0" fontId="16" fillId="0" borderId="0" xfId="0" applyFont="1" applyFill="1"/>
    <xf numFmtId="0" fontId="16" fillId="3" borderId="0" xfId="0" applyFont="1" applyFill="1" applyAlignment="1">
      <alignment horizontal="center"/>
    </xf>
    <xf numFmtId="0" fontId="1" fillId="3" borderId="0" xfId="0" applyFont="1" applyFill="1" applyAlignment="1">
      <alignment horizontal="right"/>
    </xf>
    <xf numFmtId="0" fontId="1" fillId="3" borderId="0" xfId="0" applyFont="1" applyFill="1"/>
    <xf numFmtId="0" fontId="20" fillId="0" borderId="0" xfId="0" applyFont="1" applyFill="1" applyAlignment="1">
      <alignment horizontal="center" vertical="center"/>
    </xf>
    <xf numFmtId="0" fontId="20" fillId="0" borderId="0" xfId="0" applyFont="1" applyFill="1" applyAlignment="1">
      <alignment vertical="center"/>
    </xf>
    <xf numFmtId="0" fontId="3" fillId="0" borderId="0" xfId="0" applyFont="1" applyFill="1" applyAlignment="1"/>
    <xf numFmtId="0" fontId="17" fillId="0" borderId="1" xfId="0" applyFont="1" applyBorder="1" applyAlignment="1" applyProtection="1">
      <alignment horizontal="center" vertical="center"/>
      <protection locked="0"/>
    </xf>
    <xf numFmtId="14" fontId="17" fillId="0" borderId="1" xfId="0" applyNumberFormat="1" applyFont="1" applyBorder="1" applyAlignment="1">
      <alignment vertical="center"/>
    </xf>
    <xf numFmtId="0" fontId="17" fillId="0" borderId="1" xfId="0" applyFont="1" applyFill="1" applyBorder="1" applyAlignment="1" applyProtection="1">
      <alignment horizontal="center" vertical="center"/>
    </xf>
    <xf numFmtId="1" fontId="17" fillId="13" borderId="1" xfId="0" applyNumberFormat="1" applyFont="1" applyFill="1" applyBorder="1" applyAlignment="1" applyProtection="1">
      <alignment horizontal="center" vertical="center"/>
    </xf>
    <xf numFmtId="0" fontId="17" fillId="13" borderId="1" xfId="0" applyFont="1" applyFill="1" applyBorder="1" applyAlignment="1" applyProtection="1">
      <alignment horizontal="center" vertical="center"/>
      <protection locked="0"/>
    </xf>
    <xf numFmtId="1" fontId="17" fillId="0" borderId="1" xfId="0" applyNumberFormat="1" applyFont="1" applyFill="1" applyBorder="1" applyAlignment="1" applyProtection="1">
      <alignment horizontal="center" vertical="center"/>
    </xf>
    <xf numFmtId="3" fontId="17" fillId="0" borderId="1" xfId="0" applyNumberFormat="1" applyFont="1" applyFill="1" applyBorder="1" applyAlignment="1" applyProtection="1">
      <alignment horizontal="center" vertical="center"/>
      <protection locked="0"/>
    </xf>
    <xf numFmtId="3" fontId="5" fillId="0" borderId="1" xfId="0" applyNumberFormat="1" applyFont="1" applyFill="1" applyBorder="1" applyAlignment="1" applyProtection="1">
      <alignment horizontal="center" vertical="center"/>
    </xf>
    <xf numFmtId="3" fontId="17" fillId="3" borderId="1" xfId="0" applyNumberFormat="1" applyFont="1" applyFill="1" applyBorder="1" applyAlignment="1" applyProtection="1">
      <alignment horizontal="center" vertical="center"/>
    </xf>
    <xf numFmtId="3" fontId="17" fillId="3" borderId="1" xfId="0" applyNumberFormat="1" applyFont="1" applyFill="1" applyBorder="1" applyAlignment="1" applyProtection="1">
      <alignment horizontal="center" vertical="center"/>
      <protection locked="0"/>
    </xf>
    <xf numFmtId="3" fontId="17" fillId="9" borderId="1" xfId="0" applyNumberFormat="1" applyFont="1" applyFill="1" applyBorder="1" applyAlignment="1" applyProtection="1">
      <alignment horizontal="center" vertical="center"/>
    </xf>
    <xf numFmtId="3" fontId="17" fillId="9" borderId="1" xfId="1" applyNumberFormat="1" applyFont="1" applyFill="1" applyBorder="1" applyAlignment="1" applyProtection="1">
      <alignment horizontal="center" vertical="center"/>
      <protection locked="0"/>
    </xf>
    <xf numFmtId="3" fontId="17" fillId="0" borderId="1" xfId="1" applyNumberFormat="1" applyFont="1" applyFill="1" applyBorder="1" applyAlignment="1" applyProtection="1">
      <alignment horizontal="center" vertical="center"/>
      <protection locked="0"/>
    </xf>
    <xf numFmtId="3" fontId="17" fillId="12" borderId="1" xfId="1" applyNumberFormat="1" applyFont="1" applyFill="1" applyBorder="1" applyAlignment="1" applyProtection="1">
      <alignment horizontal="center" vertical="center"/>
      <protection locked="0"/>
    </xf>
    <xf numFmtId="176" fontId="17" fillId="3" borderId="1" xfId="1" applyNumberFormat="1" applyFont="1" applyFill="1" applyBorder="1" applyAlignment="1" applyProtection="1">
      <alignment horizontal="center" vertical="center"/>
    </xf>
    <xf numFmtId="176" fontId="17" fillId="3" borderId="1" xfId="1" applyNumberFormat="1" applyFont="1" applyFill="1" applyBorder="1" applyAlignment="1" applyProtection="1">
      <alignment horizontal="left" vertical="center"/>
    </xf>
    <xf numFmtId="1" fontId="17" fillId="13" borderId="1" xfId="0" applyNumberFormat="1" applyFont="1" applyFill="1" applyBorder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14" fontId="5" fillId="0" borderId="1" xfId="0" applyNumberFormat="1" applyFont="1" applyBorder="1" applyAlignment="1" applyProtection="1">
      <alignment horizontal="center" vertical="center"/>
      <protection locked="0"/>
    </xf>
    <xf numFmtId="0" fontId="5" fillId="0" borderId="1" xfId="0" applyFont="1" applyFill="1" applyBorder="1" applyAlignment="1" applyProtection="1">
      <alignment horizontal="center" vertical="center"/>
      <protection locked="0"/>
    </xf>
    <xf numFmtId="3" fontId="5" fillId="0" borderId="1" xfId="0" applyNumberFormat="1" applyFont="1" applyFill="1" applyBorder="1" applyAlignment="1" applyProtection="1">
      <alignment horizontal="center" vertical="center"/>
      <protection locked="0"/>
    </xf>
    <xf numFmtId="0" fontId="36" fillId="0" borderId="0" xfId="0" applyFont="1" applyAlignment="1" applyProtection="1">
      <alignment horizontal="center" vertical="center"/>
      <protection locked="0"/>
    </xf>
    <xf numFmtId="0" fontId="17" fillId="0" borderId="1" xfId="0" applyFont="1" applyBorder="1" applyAlignment="1">
      <alignment horizontal="center" vertical="center" wrapText="1"/>
    </xf>
    <xf numFmtId="170" fontId="6" fillId="0" borderId="1" xfId="8" applyNumberFormat="1" applyFont="1" applyFill="1" applyBorder="1" applyAlignment="1" applyProtection="1">
      <alignment horizontal="center" vertical="center"/>
      <protection locked="0"/>
    </xf>
    <xf numFmtId="168" fontId="6" fillId="0" borderId="1" xfId="8" applyNumberFormat="1" applyFont="1" applyFill="1" applyBorder="1" applyAlignment="1" applyProtection="1">
      <alignment horizontal="center" vertical="center"/>
      <protection locked="0"/>
    </xf>
    <xf numFmtId="171" fontId="6" fillId="0" borderId="1" xfId="2" applyNumberFormat="1" applyFont="1" applyFill="1" applyBorder="1" applyAlignment="1" applyProtection="1">
      <alignment horizontal="center" vertical="center"/>
      <protection locked="0"/>
    </xf>
    <xf numFmtId="0" fontId="1" fillId="0" borderId="1" xfId="0" applyFont="1" applyFill="1" applyBorder="1" applyAlignment="1">
      <alignment vertical="center" wrapText="1"/>
    </xf>
    <xf numFmtId="170" fontId="1" fillId="0" borderId="1" xfId="8" applyNumberFormat="1" applyFont="1" applyFill="1" applyBorder="1" applyAlignment="1" applyProtection="1">
      <alignment horizontal="center" vertical="center"/>
      <protection locked="0"/>
    </xf>
    <xf numFmtId="0" fontId="7" fillId="3" borderId="1" xfId="0" applyFont="1" applyFill="1" applyBorder="1" applyAlignment="1">
      <alignment vertical="center"/>
    </xf>
    <xf numFmtId="0" fontId="5" fillId="3" borderId="1" xfId="0" applyFont="1" applyFill="1" applyBorder="1" applyAlignment="1" applyProtection="1">
      <alignment horizontal="center" vertical="center" wrapText="1"/>
      <protection locked="0"/>
    </xf>
    <xf numFmtId="3" fontId="33" fillId="0" borderId="0" xfId="0" applyNumberFormat="1" applyFont="1" applyAlignment="1" applyProtection="1">
      <alignment horizontal="left"/>
      <protection locked="0"/>
    </xf>
    <xf numFmtId="0" fontId="16" fillId="3" borderId="0" xfId="0" applyFont="1" applyFill="1" applyAlignment="1">
      <alignment horizontal="center"/>
    </xf>
    <xf numFmtId="0" fontId="1" fillId="0" borderId="0" xfId="0" applyFont="1" applyAlignment="1" applyProtection="1">
      <alignment vertical="center"/>
      <protection locked="0"/>
    </xf>
    <xf numFmtId="0" fontId="14" fillId="3" borderId="0" xfId="0" applyFont="1" applyFill="1" applyAlignment="1">
      <alignment horizontal="center"/>
    </xf>
    <xf numFmtId="0" fontId="15" fillId="3" borderId="0" xfId="0" applyFont="1" applyFill="1" applyAlignment="1">
      <alignment horizontal="center" vertical="center"/>
    </xf>
    <xf numFmtId="0" fontId="3" fillId="0" borderId="0" xfId="0" applyFont="1" applyFill="1" applyProtection="1">
      <protection locked="0"/>
    </xf>
    <xf numFmtId="169" fontId="3" fillId="0" borderId="0" xfId="2" applyNumberFormat="1" applyFont="1" applyFill="1" applyProtection="1">
      <protection locked="0"/>
    </xf>
    <xf numFmtId="0" fontId="2" fillId="0" borderId="0" xfId="0" applyFont="1" applyFill="1" applyProtection="1">
      <protection locked="0"/>
    </xf>
    <xf numFmtId="0" fontId="1" fillId="0" borderId="0" xfId="0" applyFont="1" applyFill="1" applyProtection="1">
      <protection locked="0"/>
    </xf>
    <xf numFmtId="169" fontId="1" fillId="0" borderId="0" xfId="2" applyNumberFormat="1" applyFont="1" applyFill="1" applyProtection="1">
      <protection locked="0"/>
    </xf>
    <xf numFmtId="169" fontId="23" fillId="0" borderId="1" xfId="2" applyNumberFormat="1" applyFont="1" applyFill="1" applyBorder="1" applyAlignment="1" applyProtection="1">
      <alignment horizontal="center" vertical="center" wrapText="1"/>
      <protection locked="0"/>
    </xf>
    <xf numFmtId="0" fontId="7" fillId="0" borderId="1" xfId="0" applyFont="1" applyFill="1" applyBorder="1" applyAlignment="1" applyProtection="1">
      <alignment horizontal="center" vertical="center" wrapText="1"/>
      <protection locked="0"/>
    </xf>
    <xf numFmtId="0" fontId="5" fillId="0" borderId="0" xfId="0" applyFont="1" applyFill="1" applyAlignment="1" applyProtection="1">
      <alignment horizontal="center" vertical="center" wrapText="1"/>
      <protection locked="0"/>
    </xf>
    <xf numFmtId="0" fontId="23" fillId="0" borderId="4" xfId="0" applyFont="1" applyFill="1" applyBorder="1" applyAlignment="1" applyProtection="1">
      <alignment vertical="center" wrapText="1"/>
      <protection locked="0"/>
    </xf>
    <xf numFmtId="172" fontId="23" fillId="3" borderId="1" xfId="3" applyNumberFormat="1" applyFont="1" applyFill="1" applyBorder="1" applyAlignment="1" applyProtection="1">
      <alignment horizontal="center" vertical="center" wrapText="1"/>
    </xf>
    <xf numFmtId="169" fontId="23" fillId="0" borderId="5" xfId="2" applyNumberFormat="1" applyFont="1" applyFill="1" applyBorder="1" applyAlignment="1" applyProtection="1">
      <alignment vertical="center" wrapText="1"/>
      <protection locked="0"/>
    </xf>
    <xf numFmtId="169" fontId="23" fillId="5" borderId="5" xfId="2" applyNumberFormat="1" applyFont="1" applyFill="1" applyBorder="1" applyAlignment="1" applyProtection="1">
      <alignment vertical="center" wrapText="1"/>
      <protection locked="0"/>
    </xf>
    <xf numFmtId="0" fontId="7" fillId="0" borderId="1" xfId="0" applyFont="1" applyFill="1" applyBorder="1" applyAlignment="1" applyProtection="1">
      <alignment vertical="center" wrapText="1"/>
      <protection locked="0"/>
    </xf>
    <xf numFmtId="0" fontId="5" fillId="0" borderId="0" xfId="0" applyFont="1" applyFill="1" applyAlignment="1" applyProtection="1">
      <alignment vertical="center" wrapText="1"/>
      <protection locked="0"/>
    </xf>
    <xf numFmtId="0" fontId="7" fillId="0" borderId="4" xfId="0" applyFont="1" applyFill="1" applyBorder="1" applyAlignment="1" applyProtection="1">
      <alignment horizontal="center" vertical="center" wrapText="1"/>
      <protection locked="0"/>
    </xf>
    <xf numFmtId="3" fontId="7" fillId="0" borderId="1" xfId="0" applyNumberFormat="1" applyFont="1" applyFill="1" applyBorder="1" applyAlignment="1" applyProtection="1">
      <alignment horizontal="center" vertical="center" wrapText="1"/>
    </xf>
    <xf numFmtId="43" fontId="7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4" fillId="0" borderId="0" xfId="0" applyFont="1" applyFill="1" applyAlignment="1" applyProtection="1">
      <alignment horizontal="center" vertical="center" wrapText="1"/>
      <protection locked="0"/>
    </xf>
    <xf numFmtId="3" fontId="7" fillId="0" borderId="1" xfId="0" applyNumberFormat="1" applyFont="1" applyFill="1" applyBorder="1" applyAlignment="1" applyProtection="1">
      <alignment horizontal="center" vertical="center"/>
    </xf>
    <xf numFmtId="0" fontId="20" fillId="0" borderId="1" xfId="0" applyFont="1" applyBorder="1" applyAlignment="1">
      <alignment horizontal="center" vertical="center"/>
    </xf>
    <xf numFmtId="3" fontId="18" fillId="9" borderId="1" xfId="0" applyNumberFormat="1" applyFont="1" applyFill="1" applyBorder="1" applyAlignment="1" applyProtection="1">
      <alignment horizontal="center"/>
      <protection locked="0"/>
    </xf>
    <xf numFmtId="3" fontId="18" fillId="9" borderId="1" xfId="0" applyNumberFormat="1" applyFont="1" applyFill="1" applyBorder="1" applyAlignment="1" applyProtection="1">
      <alignment horizontal="center"/>
    </xf>
    <xf numFmtId="172" fontId="18" fillId="0" borderId="1" xfId="0" applyNumberFormat="1" applyFont="1" applyFill="1" applyBorder="1" applyAlignment="1" applyProtection="1">
      <alignment horizontal="center"/>
    </xf>
    <xf numFmtId="169" fontId="18" fillId="9" borderId="1" xfId="2" applyNumberFormat="1" applyFont="1" applyFill="1" applyBorder="1" applyAlignment="1" applyProtection="1">
      <alignment horizontal="center"/>
      <protection locked="0"/>
    </xf>
    <xf numFmtId="169" fontId="18" fillId="9" borderId="1" xfId="2" applyNumberFormat="1" applyFont="1" applyFill="1" applyBorder="1" applyAlignment="1" applyProtection="1">
      <alignment horizontal="center"/>
    </xf>
    <xf numFmtId="169" fontId="18" fillId="0" borderId="1" xfId="2" applyNumberFormat="1" applyFont="1" applyFill="1" applyBorder="1" applyAlignment="1" applyProtection="1">
      <alignment horizontal="center"/>
    </xf>
    <xf numFmtId="3" fontId="7" fillId="0" borderId="1" xfId="0" applyNumberFormat="1" applyFont="1" applyFill="1" applyBorder="1" applyAlignment="1" applyProtection="1">
      <alignment horizontal="center"/>
    </xf>
    <xf numFmtId="9" fontId="18" fillId="0" borderId="1" xfId="0" applyNumberFormat="1" applyFont="1" applyFill="1" applyBorder="1" applyAlignment="1" applyProtection="1">
      <alignment horizontal="center"/>
    </xf>
    <xf numFmtId="3" fontId="72" fillId="0" borderId="0" xfId="0" applyNumberFormat="1" applyFont="1" applyBorder="1" applyAlignment="1">
      <alignment horizontal="center"/>
    </xf>
    <xf numFmtId="0" fontId="23" fillId="0" borderId="1" xfId="0" applyFont="1" applyFill="1" applyBorder="1" applyProtection="1">
      <protection locked="0"/>
    </xf>
    <xf numFmtId="3" fontId="23" fillId="0" borderId="1" xfId="0" applyNumberFormat="1" applyFont="1" applyFill="1" applyBorder="1" applyAlignment="1" applyProtection="1">
      <alignment horizontal="center"/>
    </xf>
    <xf numFmtId="9" fontId="23" fillId="0" borderId="1" xfId="0" applyNumberFormat="1" applyFont="1" applyFill="1" applyBorder="1" applyProtection="1">
      <protection locked="0"/>
    </xf>
    <xf numFmtId="169" fontId="23" fillId="0" borderId="1" xfId="2" applyNumberFormat="1" applyFont="1" applyFill="1" applyBorder="1" applyProtection="1"/>
    <xf numFmtId="3" fontId="70" fillId="0" borderId="1" xfId="2" applyNumberFormat="1" applyFont="1" applyFill="1" applyBorder="1" applyProtection="1"/>
    <xf numFmtId="0" fontId="1" fillId="9" borderId="1" xfId="0" applyFont="1" applyFill="1" applyBorder="1" applyProtection="1">
      <protection locked="0"/>
    </xf>
    <xf numFmtId="0" fontId="1" fillId="0" borderId="0" xfId="0" applyFont="1" applyFill="1" applyBorder="1" applyProtection="1">
      <protection locked="0"/>
    </xf>
    <xf numFmtId="173" fontId="1" fillId="0" borderId="0" xfId="0" applyNumberFormat="1" applyFont="1" applyFill="1" applyProtection="1">
      <protection locked="0"/>
    </xf>
    <xf numFmtId="173" fontId="1" fillId="0" borderId="0" xfId="0" applyNumberFormat="1" applyFont="1" applyFill="1" applyBorder="1" applyProtection="1">
      <protection locked="0"/>
    </xf>
    <xf numFmtId="164" fontId="1" fillId="0" borderId="0" xfId="0" applyNumberFormat="1" applyFont="1" applyFill="1" applyProtection="1">
      <protection locked="0"/>
    </xf>
    <xf numFmtId="3" fontId="24" fillId="0" borderId="1" xfId="2" applyNumberFormat="1" applyFont="1" applyFill="1" applyBorder="1" applyAlignment="1" applyProtection="1">
      <alignment vertical="center"/>
    </xf>
    <xf numFmtId="175" fontId="1" fillId="0" borderId="0" xfId="0" applyNumberFormat="1" applyFont="1" applyFill="1" applyProtection="1">
      <protection locked="0"/>
    </xf>
    <xf numFmtId="167" fontId="1" fillId="0" borderId="0" xfId="2" applyNumberFormat="1" applyFont="1" applyFill="1" applyBorder="1" applyAlignment="1" applyProtection="1">
      <protection locked="0"/>
    </xf>
    <xf numFmtId="3" fontId="1" fillId="0" borderId="0" xfId="0" applyNumberFormat="1" applyFont="1" applyFill="1" applyBorder="1" applyAlignment="1" applyProtection="1">
      <protection locked="0"/>
    </xf>
    <xf numFmtId="167" fontId="1" fillId="0" borderId="0" xfId="0" applyNumberFormat="1" applyFont="1" applyFill="1" applyBorder="1" applyAlignment="1" applyProtection="1">
      <protection locked="0"/>
    </xf>
    <xf numFmtId="0" fontId="1" fillId="0" borderId="0" xfId="0" applyFont="1"/>
    <xf numFmtId="0" fontId="1" fillId="0" borderId="0" xfId="0" applyFont="1" applyBorder="1" applyAlignment="1">
      <alignment horizontal="center"/>
    </xf>
    <xf numFmtId="0" fontId="1" fillId="0" borderId="0" xfId="0" applyFont="1" applyBorder="1"/>
    <xf numFmtId="169" fontId="1" fillId="0" borderId="0" xfId="2" applyNumberFormat="1" applyFont="1" applyFill="1" applyBorder="1" applyProtection="1">
      <protection locked="0"/>
    </xf>
    <xf numFmtId="0" fontId="6" fillId="3" borderId="0" xfId="0" applyFont="1" applyFill="1"/>
    <xf numFmtId="0" fontId="1" fillId="0" borderId="0" xfId="0" applyFont="1" applyFill="1"/>
    <xf numFmtId="0" fontId="6" fillId="0" borderId="0" xfId="0" applyFont="1" applyFill="1"/>
    <xf numFmtId="0" fontId="6" fillId="3" borderId="0" xfId="0" applyFont="1" applyFill="1" applyAlignment="1"/>
    <xf numFmtId="0" fontId="6" fillId="3" borderId="0" xfId="0" applyFont="1" applyFill="1" applyAlignment="1">
      <alignment horizontal="center"/>
    </xf>
    <xf numFmtId="3" fontId="23" fillId="9" borderId="1" xfId="0" applyNumberFormat="1" applyFont="1" applyFill="1" applyBorder="1" applyAlignment="1" applyProtection="1">
      <alignment horizontal="center"/>
      <protection locked="0"/>
    </xf>
    <xf numFmtId="0" fontId="71" fillId="9" borderId="1" xfId="0" applyFont="1" applyFill="1" applyBorder="1" applyAlignment="1">
      <alignment horizontal="center" vertical="center"/>
    </xf>
    <xf numFmtId="0" fontId="7" fillId="0" borderId="4" xfId="0" applyFont="1" applyFill="1" applyBorder="1" applyAlignment="1" applyProtection="1">
      <alignment horizontal="center" vertical="center" wrapText="1"/>
      <protection locked="0"/>
    </xf>
    <xf numFmtId="0" fontId="7" fillId="0" borderId="6" xfId="0" applyFont="1" applyFill="1" applyBorder="1" applyAlignment="1" applyProtection="1">
      <alignment horizontal="center" vertical="center" wrapText="1"/>
      <protection locked="0"/>
    </xf>
    <xf numFmtId="0" fontId="7" fillId="0" borderId="5" xfId="0" applyFont="1" applyFill="1" applyBorder="1" applyAlignment="1" applyProtection="1">
      <alignment horizontal="center" vertical="center" wrapText="1"/>
      <protection locked="0"/>
    </xf>
    <xf numFmtId="0" fontId="14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174" fontId="14" fillId="3" borderId="1" xfId="0" applyNumberFormat="1" applyFont="1" applyFill="1" applyBorder="1" applyAlignment="1" applyProtection="1">
      <alignment horizontal="center" vertical="center" wrapText="1"/>
      <protection locked="0"/>
    </xf>
    <xf numFmtId="0" fontId="23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Border="1" applyAlignment="1">
      <alignment horizontal="center"/>
    </xf>
    <xf numFmtId="0" fontId="23" fillId="0" borderId="0" xfId="0" applyFont="1" applyFill="1" applyBorder="1" applyProtection="1">
      <protection locked="0"/>
    </xf>
    <xf numFmtId="0" fontId="23" fillId="0" borderId="0" xfId="0" applyFont="1"/>
    <xf numFmtId="0" fontId="75" fillId="0" borderId="0" xfId="0" applyFont="1"/>
    <xf numFmtId="0" fontId="3" fillId="0" borderId="0" xfId="0" applyFont="1"/>
    <xf numFmtId="0" fontId="20" fillId="16" borderId="0" xfId="0" applyFont="1" applyFill="1" applyAlignment="1">
      <alignment vertical="center"/>
    </xf>
    <xf numFmtId="0" fontId="18" fillId="16" borderId="0" xfId="0" applyFont="1" applyFill="1" applyAlignment="1">
      <alignment vertical="center"/>
    </xf>
    <xf numFmtId="0" fontId="30" fillId="16" borderId="0" xfId="0" applyFont="1" applyFill="1" applyAlignment="1">
      <alignment vertical="center"/>
    </xf>
    <xf numFmtId="171" fontId="15" fillId="3" borderId="0" xfId="0" applyNumberFormat="1" applyFont="1" applyFill="1" applyAlignment="1">
      <alignment horizontal="center" vertical="center"/>
    </xf>
    <xf numFmtId="168" fontId="16" fillId="3" borderId="3" xfId="8" applyNumberFormat="1" applyFont="1" applyFill="1" applyBorder="1" applyAlignment="1" applyProtection="1">
      <alignment horizontal="center" vertical="center"/>
      <protection locked="0"/>
    </xf>
    <xf numFmtId="0" fontId="13" fillId="0" borderId="1" xfId="0" applyFont="1" applyBorder="1"/>
    <xf numFmtId="177" fontId="22" fillId="0" borderId="1" xfId="0" applyNumberFormat="1" applyFont="1" applyBorder="1"/>
    <xf numFmtId="0" fontId="18" fillId="9" borderId="1" xfId="0" applyFont="1" applyFill="1" applyBorder="1" applyAlignment="1">
      <alignment horizontal="center" vertical="center"/>
    </xf>
    <xf numFmtId="3" fontId="8" fillId="0" borderId="0" xfId="0" applyNumberFormat="1" applyFont="1" applyBorder="1" applyAlignment="1">
      <alignment horizontal="center"/>
    </xf>
    <xf numFmtId="168" fontId="1" fillId="0" borderId="1" xfId="8" applyNumberFormat="1" applyFont="1" applyFill="1" applyBorder="1" applyAlignment="1" applyProtection="1">
      <alignment horizontal="center" vertical="center"/>
      <protection locked="0"/>
    </xf>
    <xf numFmtId="0" fontId="77" fillId="16" borderId="0" xfId="0" applyFont="1" applyFill="1" applyAlignment="1">
      <alignment vertical="center"/>
    </xf>
    <xf numFmtId="0" fontId="77" fillId="3" borderId="0" xfId="0" applyFont="1" applyFill="1" applyAlignment="1">
      <alignment vertical="center"/>
    </xf>
    <xf numFmtId="0" fontId="13" fillId="0" borderId="9" xfId="0" applyFont="1" applyBorder="1"/>
    <xf numFmtId="0" fontId="13" fillId="3" borderId="9" xfId="0" applyFont="1" applyFill="1" applyBorder="1"/>
    <xf numFmtId="177" fontId="13" fillId="0" borderId="9" xfId="0" applyNumberFormat="1" applyFont="1" applyBorder="1"/>
    <xf numFmtId="14" fontId="36" fillId="0" borderId="0" xfId="0" applyNumberFormat="1" applyFont="1" applyFill="1" applyBorder="1" applyAlignment="1" applyProtection="1">
      <protection locked="0"/>
    </xf>
    <xf numFmtId="14" fontId="36" fillId="0" borderId="0" xfId="0" applyNumberFormat="1" applyFont="1" applyFill="1" applyBorder="1" applyProtection="1">
      <protection locked="0"/>
    </xf>
    <xf numFmtId="0" fontId="14" fillId="0" borderId="0" xfId="0" applyFont="1" applyFill="1" applyAlignment="1"/>
    <xf numFmtId="170" fontId="6" fillId="0" borderId="9" xfId="8" applyNumberFormat="1" applyFont="1" applyFill="1" applyBorder="1" applyAlignment="1" applyProtection="1">
      <alignment horizontal="center" vertical="center"/>
      <protection locked="0"/>
    </xf>
    <xf numFmtId="0" fontId="1" fillId="0" borderId="9" xfId="0" applyFont="1" applyFill="1" applyBorder="1" applyAlignment="1">
      <alignment vertical="center" wrapText="1"/>
    </xf>
    <xf numFmtId="0" fontId="80" fillId="3" borderId="9" xfId="0" applyFont="1" applyFill="1" applyBorder="1" applyAlignment="1">
      <alignment vertical="center"/>
    </xf>
    <xf numFmtId="168" fontId="81" fillId="0" borderId="4" xfId="9" applyNumberFormat="1" applyFont="1" applyFill="1" applyBorder="1" applyAlignment="1">
      <alignment horizontal="center" vertical="center"/>
    </xf>
    <xf numFmtId="168" fontId="16" fillId="3" borderId="9" xfId="8" applyNumberFormat="1" applyFont="1" applyFill="1" applyBorder="1" applyAlignment="1" applyProtection="1">
      <alignment horizontal="center" vertical="center"/>
      <protection locked="0"/>
    </xf>
    <xf numFmtId="0" fontId="20" fillId="0" borderId="9" xfId="0" applyFont="1" applyBorder="1" applyAlignment="1">
      <alignment horizontal="center" wrapText="1"/>
    </xf>
    <xf numFmtId="0" fontId="17" fillId="0" borderId="9" xfId="0" applyFont="1" applyBorder="1" applyAlignment="1">
      <alignment horizontal="center" vertical="center" wrapText="1"/>
    </xf>
    <xf numFmtId="177" fontId="22" fillId="0" borderId="9" xfId="0" applyNumberFormat="1" applyFont="1" applyBorder="1"/>
    <xf numFmtId="0" fontId="14" fillId="3" borderId="9" xfId="0" applyFont="1" applyFill="1" applyBorder="1" applyAlignment="1">
      <alignment vertical="center"/>
    </xf>
    <xf numFmtId="3" fontId="18" fillId="9" borderId="9" xfId="0" applyNumberFormat="1" applyFont="1" applyFill="1" applyBorder="1" applyAlignment="1" applyProtection="1">
      <alignment horizontal="center"/>
      <protection locked="0"/>
    </xf>
    <xf numFmtId="3" fontId="18" fillId="9" borderId="9" xfId="0" applyNumberFormat="1" applyFont="1" applyFill="1" applyBorder="1" applyAlignment="1" applyProtection="1">
      <alignment horizontal="center"/>
    </xf>
    <xf numFmtId="0" fontId="18" fillId="0" borderId="9" xfId="0" applyFont="1" applyFill="1" applyBorder="1" applyProtection="1">
      <protection locked="0"/>
    </xf>
    <xf numFmtId="0" fontId="17" fillId="0" borderId="9" xfId="0" applyFont="1" applyBorder="1" applyAlignment="1">
      <alignment horizontal="center" vertical="center"/>
    </xf>
    <xf numFmtId="0" fontId="5" fillId="0" borderId="9" xfId="0" applyFont="1" applyBorder="1" applyAlignment="1">
      <alignment vertical="center"/>
    </xf>
    <xf numFmtId="14" fontId="17" fillId="0" borderId="9" xfId="0" applyNumberFormat="1" applyFont="1" applyBorder="1" applyAlignment="1">
      <alignment vertical="center"/>
    </xf>
    <xf numFmtId="176" fontId="17" fillId="3" borderId="9" xfId="1" applyNumberFormat="1" applyFont="1" applyFill="1" applyBorder="1" applyAlignment="1" applyProtection="1">
      <alignment horizontal="left" vertical="center"/>
    </xf>
    <xf numFmtId="3" fontId="17" fillId="0" borderId="9" xfId="0" applyNumberFormat="1" applyFont="1" applyFill="1" applyBorder="1" applyAlignment="1" applyProtection="1">
      <alignment horizontal="center" vertical="center"/>
      <protection locked="0"/>
    </xf>
    <xf numFmtId="0" fontId="0" fillId="0" borderId="9" xfId="0" applyBorder="1" applyAlignment="1">
      <alignment wrapText="1"/>
    </xf>
    <xf numFmtId="0" fontId="0" fillId="0" borderId="0" xfId="0" applyBorder="1" applyAlignment="1">
      <alignment wrapText="1"/>
    </xf>
    <xf numFmtId="168" fontId="15" fillId="3" borderId="9" xfId="8" applyNumberFormat="1" applyFont="1" applyFill="1" applyBorder="1" applyAlignment="1" applyProtection="1">
      <alignment horizontal="center" vertical="center"/>
      <protection locked="0"/>
    </xf>
    <xf numFmtId="3" fontId="23" fillId="9" borderId="1" xfId="0" applyNumberFormat="1" applyFont="1" applyFill="1" applyBorder="1" applyAlignment="1" applyProtection="1">
      <alignment horizontal="center"/>
    </xf>
    <xf numFmtId="168" fontId="15" fillId="0" borderId="9" xfId="8" applyNumberFormat="1" applyFont="1" applyFill="1" applyBorder="1" applyAlignment="1" applyProtection="1">
      <alignment horizontal="center" vertical="center"/>
      <protection locked="0"/>
    </xf>
    <xf numFmtId="0" fontId="23" fillId="3" borderId="2" xfId="0" applyFont="1" applyFill="1" applyBorder="1" applyAlignment="1">
      <alignment vertical="center"/>
    </xf>
    <xf numFmtId="168" fontId="3" fillId="0" borderId="2" xfId="9" applyNumberFormat="1" applyFont="1" applyFill="1" applyBorder="1" applyAlignment="1">
      <alignment horizontal="center" vertical="center"/>
    </xf>
    <xf numFmtId="168" fontId="17" fillId="0" borderId="9" xfId="8" applyNumberFormat="1" applyFont="1" applyFill="1" applyBorder="1" applyAlignment="1" applyProtection="1">
      <alignment horizontal="center" vertical="center"/>
      <protection locked="0"/>
    </xf>
    <xf numFmtId="170" fontId="1" fillId="0" borderId="2" xfId="8" applyNumberFormat="1" applyFont="1" applyFill="1" applyBorder="1" applyAlignment="1" applyProtection="1">
      <alignment horizontal="center" vertical="center"/>
      <protection locked="0"/>
    </xf>
    <xf numFmtId="168" fontId="1" fillId="0" borderId="2" xfId="8" applyNumberFormat="1" applyFont="1" applyFill="1" applyBorder="1" applyAlignment="1" applyProtection="1">
      <alignment horizontal="center" vertical="center"/>
      <protection locked="0"/>
    </xf>
    <xf numFmtId="171" fontId="1" fillId="0" borderId="2" xfId="2" applyNumberFormat="1" applyFont="1" applyFill="1" applyBorder="1" applyAlignment="1" applyProtection="1">
      <alignment horizontal="center" vertical="center"/>
      <protection locked="0"/>
    </xf>
    <xf numFmtId="170" fontId="3" fillId="0" borderId="2" xfId="8" applyNumberFormat="1" applyFont="1" applyFill="1" applyBorder="1" applyAlignment="1" applyProtection="1">
      <alignment horizontal="center" vertical="center"/>
      <protection locked="0"/>
    </xf>
    <xf numFmtId="0" fontId="3" fillId="0" borderId="2" xfId="0" applyFont="1" applyFill="1" applyBorder="1" applyAlignment="1">
      <alignment vertical="center" wrapText="1"/>
    </xf>
    <xf numFmtId="0" fontId="23" fillId="3" borderId="9" xfId="0" applyFont="1" applyFill="1" applyBorder="1" applyAlignment="1">
      <alignment vertical="center"/>
    </xf>
    <xf numFmtId="168" fontId="3" fillId="0" borderId="9" xfId="9" applyNumberFormat="1" applyFont="1" applyFill="1" applyBorder="1" applyAlignment="1">
      <alignment horizontal="center" vertical="center"/>
    </xf>
    <xf numFmtId="170" fontId="1" fillId="0" borderId="9" xfId="8" applyNumberFormat="1" applyFont="1" applyFill="1" applyBorder="1" applyAlignment="1" applyProtection="1">
      <alignment horizontal="center" vertical="center"/>
      <protection locked="0"/>
    </xf>
    <xf numFmtId="168" fontId="1" fillId="0" borderId="9" xfId="8" applyNumberFormat="1" applyFont="1" applyFill="1" applyBorder="1" applyAlignment="1" applyProtection="1">
      <alignment horizontal="center" vertical="center"/>
      <protection locked="0"/>
    </xf>
    <xf numFmtId="171" fontId="1" fillId="0" borderId="9" xfId="2" applyNumberFormat="1" applyFont="1" applyFill="1" applyBorder="1" applyAlignment="1" applyProtection="1">
      <alignment horizontal="center" vertical="center"/>
      <protection locked="0"/>
    </xf>
    <xf numFmtId="170" fontId="3" fillId="0" borderId="9" xfId="8" applyNumberFormat="1" applyFont="1" applyFill="1" applyBorder="1" applyAlignment="1" applyProtection="1">
      <alignment horizontal="center" vertical="center"/>
      <protection locked="0"/>
    </xf>
    <xf numFmtId="0" fontId="3" fillId="0" borderId="4" xfId="0" applyFont="1" applyFill="1" applyBorder="1" applyAlignment="1">
      <alignment vertical="center" wrapText="1"/>
    </xf>
    <xf numFmtId="0" fontId="77" fillId="16" borderId="0" xfId="0" applyFont="1" applyFill="1" applyBorder="1" applyAlignment="1">
      <alignment vertical="center"/>
    </xf>
    <xf numFmtId="0" fontId="77" fillId="3" borderId="0" xfId="0" applyFont="1" applyFill="1" applyBorder="1" applyAlignment="1">
      <alignment vertical="center"/>
    </xf>
    <xf numFmtId="0" fontId="77" fillId="3" borderId="9" xfId="0" applyFont="1" applyFill="1" applyBorder="1" applyAlignment="1">
      <alignment vertical="center"/>
    </xf>
    <xf numFmtId="168" fontId="1" fillId="0" borderId="9" xfId="9" applyNumberFormat="1" applyFont="1" applyFill="1" applyBorder="1" applyAlignment="1">
      <alignment horizontal="center" vertical="center"/>
    </xf>
    <xf numFmtId="168" fontId="17" fillId="3" borderId="9" xfId="8" applyNumberFormat="1" applyFont="1" applyFill="1" applyBorder="1" applyAlignment="1" applyProtection="1">
      <alignment horizontal="center" vertical="center"/>
      <protection locked="0"/>
    </xf>
    <xf numFmtId="168" fontId="1" fillId="14" borderId="9" xfId="8" applyNumberFormat="1" applyFont="1" applyFill="1" applyBorder="1" applyAlignment="1" applyProtection="1">
      <alignment horizontal="center" vertical="center"/>
      <protection locked="0"/>
    </xf>
    <xf numFmtId="168" fontId="1" fillId="3" borderId="9" xfId="8" applyNumberFormat="1" applyFont="1" applyFill="1" applyBorder="1" applyAlignment="1" applyProtection="1">
      <alignment horizontal="center" vertical="center"/>
      <protection locked="0"/>
    </xf>
    <xf numFmtId="3" fontId="1" fillId="3" borderId="9" xfId="1" applyNumberFormat="1" applyFont="1" applyFill="1" applyBorder="1" applyAlignment="1" applyProtection="1">
      <alignment horizontal="center" vertical="center"/>
      <protection locked="0"/>
    </xf>
    <xf numFmtId="3" fontId="1" fillId="3" borderId="9" xfId="8" applyNumberFormat="1" applyFont="1" applyFill="1" applyBorder="1" applyAlignment="1" applyProtection="1">
      <alignment horizontal="center" vertical="center"/>
      <protection locked="0"/>
    </xf>
    <xf numFmtId="3" fontId="3" fillId="3" borderId="9" xfId="1" applyNumberFormat="1" applyFont="1" applyFill="1" applyBorder="1" applyAlignment="1" applyProtection="1">
      <alignment horizontal="center" vertical="center"/>
      <protection locked="0"/>
    </xf>
    <xf numFmtId="0" fontId="1" fillId="3" borderId="9" xfId="0" applyFont="1" applyFill="1" applyBorder="1"/>
    <xf numFmtId="177" fontId="3" fillId="0" borderId="9" xfId="0" applyNumberFormat="1" applyFont="1" applyBorder="1"/>
    <xf numFmtId="177" fontId="1" fillId="0" borderId="9" xfId="0" applyNumberFormat="1" applyFont="1" applyBorder="1"/>
    <xf numFmtId="0" fontId="3" fillId="3" borderId="9" xfId="0" applyFont="1" applyFill="1" applyBorder="1" applyAlignment="1">
      <alignment vertical="center"/>
    </xf>
    <xf numFmtId="0" fontId="22" fillId="0" borderId="1" xfId="0" applyFont="1" applyBorder="1" applyAlignment="1">
      <alignment horizontal="center" vertical="center"/>
    </xf>
    <xf numFmtId="0" fontId="70" fillId="3" borderId="9" xfId="0" applyFont="1" applyFill="1" applyBorder="1" applyAlignment="1">
      <alignment vertical="center"/>
    </xf>
    <xf numFmtId="168" fontId="22" fillId="0" borderId="9" xfId="9" applyNumberFormat="1" applyFont="1" applyFill="1" applyBorder="1" applyAlignment="1">
      <alignment horizontal="center" vertical="center"/>
    </xf>
    <xf numFmtId="168" fontId="38" fillId="0" borderId="9" xfId="8" applyNumberFormat="1" applyFont="1" applyFill="1" applyBorder="1" applyAlignment="1" applyProtection="1">
      <alignment horizontal="center" vertical="center"/>
      <protection locked="0"/>
    </xf>
    <xf numFmtId="170" fontId="25" fillId="0" borderId="9" xfId="8" applyNumberFormat="1" applyFont="1" applyFill="1" applyBorder="1" applyAlignment="1" applyProtection="1">
      <alignment horizontal="center" vertical="center"/>
      <protection locked="0"/>
    </xf>
    <xf numFmtId="168" fontId="25" fillId="0" borderId="9" xfId="8" applyNumberFormat="1" applyFont="1" applyFill="1" applyBorder="1" applyAlignment="1" applyProtection="1">
      <alignment horizontal="center" vertical="center"/>
      <protection locked="0"/>
    </xf>
    <xf numFmtId="171" fontId="25" fillId="0" borderId="9" xfId="2" applyNumberFormat="1" applyFont="1" applyFill="1" applyBorder="1" applyAlignment="1" applyProtection="1">
      <alignment horizontal="center" vertical="center"/>
      <protection locked="0"/>
    </xf>
    <xf numFmtId="170" fontId="22" fillId="0" borderId="9" xfId="8" applyNumberFormat="1" applyFont="1" applyFill="1" applyBorder="1" applyAlignment="1" applyProtection="1">
      <alignment horizontal="center" vertical="center"/>
      <protection locked="0"/>
    </xf>
    <xf numFmtId="0" fontId="22" fillId="0" borderId="9" xfId="0" applyFont="1" applyFill="1" applyBorder="1" applyAlignment="1">
      <alignment vertical="center" wrapText="1"/>
    </xf>
    <xf numFmtId="0" fontId="85" fillId="16" borderId="0" xfId="0" applyFont="1" applyFill="1" applyBorder="1" applyAlignment="1">
      <alignment vertical="center"/>
    </xf>
    <xf numFmtId="0" fontId="85" fillId="3" borderId="0" xfId="0" applyFont="1" applyFill="1" applyBorder="1" applyAlignment="1">
      <alignment vertical="center"/>
    </xf>
    <xf numFmtId="0" fontId="25" fillId="0" borderId="1" xfId="0" applyFont="1" applyBorder="1" applyAlignment="1">
      <alignment horizontal="center" vertical="center"/>
    </xf>
    <xf numFmtId="168" fontId="25" fillId="0" borderId="9" xfId="9" applyNumberFormat="1" applyFont="1" applyFill="1" applyBorder="1" applyAlignment="1">
      <alignment horizontal="center" vertical="center"/>
    </xf>
    <xf numFmtId="168" fontId="38" fillId="3" borderId="9" xfId="8" applyNumberFormat="1" applyFont="1" applyFill="1" applyBorder="1" applyAlignment="1" applyProtection="1">
      <alignment horizontal="center" vertical="center"/>
      <protection locked="0"/>
    </xf>
    <xf numFmtId="168" fontId="25" fillId="14" borderId="9" xfId="8" applyNumberFormat="1" applyFont="1" applyFill="1" applyBorder="1" applyAlignment="1" applyProtection="1">
      <alignment horizontal="center" vertical="center"/>
      <protection locked="0"/>
    </xf>
    <xf numFmtId="168" fontId="25" fillId="3" borderId="9" xfId="8" applyNumberFormat="1" applyFont="1" applyFill="1" applyBorder="1" applyAlignment="1" applyProtection="1">
      <alignment horizontal="center" vertical="center"/>
      <protection locked="0"/>
    </xf>
    <xf numFmtId="3" fontId="25" fillId="3" borderId="9" xfId="1" applyNumberFormat="1" applyFont="1" applyFill="1" applyBorder="1" applyAlignment="1" applyProtection="1">
      <alignment horizontal="center" vertical="center"/>
      <protection locked="0"/>
    </xf>
    <xf numFmtId="3" fontId="25" fillId="3" borderId="9" xfId="8" applyNumberFormat="1" applyFont="1" applyFill="1" applyBorder="1" applyAlignment="1" applyProtection="1">
      <alignment horizontal="center" vertical="center"/>
      <protection locked="0"/>
    </xf>
    <xf numFmtId="3" fontId="22" fillId="3" borderId="9" xfId="1" applyNumberFormat="1" applyFont="1" applyFill="1" applyBorder="1" applyAlignment="1" applyProtection="1">
      <alignment horizontal="center" vertical="center"/>
      <protection locked="0"/>
    </xf>
    <xf numFmtId="0" fontId="25" fillId="3" borderId="9" xfId="0" applyFont="1" applyFill="1" applyBorder="1"/>
    <xf numFmtId="0" fontId="38" fillId="0" borderId="9" xfId="0" applyFont="1" applyBorder="1" applyAlignment="1">
      <alignment horizontal="center" vertical="center" wrapText="1"/>
    </xf>
    <xf numFmtId="168" fontId="25" fillId="3" borderId="0" xfId="8" applyNumberFormat="1" applyFont="1" applyFill="1" applyBorder="1" applyAlignment="1" applyProtection="1">
      <alignment horizontal="center" vertical="center"/>
      <protection locked="0"/>
    </xf>
    <xf numFmtId="168" fontId="25" fillId="3" borderId="3" xfId="8" applyNumberFormat="1" applyFont="1" applyFill="1" applyBorder="1" applyAlignment="1" applyProtection="1">
      <alignment horizontal="center" vertical="center"/>
      <protection locked="0"/>
    </xf>
    <xf numFmtId="0" fontId="25" fillId="3" borderId="0" xfId="0" applyFont="1" applyFill="1" applyBorder="1"/>
    <xf numFmtId="177" fontId="22" fillId="0" borderId="0" xfId="0" applyNumberFormat="1" applyFont="1" applyBorder="1"/>
    <xf numFmtId="177" fontId="25" fillId="0" borderId="0" xfId="0" applyNumberFormat="1" applyFont="1" applyBorder="1"/>
    <xf numFmtId="0" fontId="86" fillId="0" borderId="1" xfId="0" applyFont="1" applyBorder="1" applyAlignment="1">
      <alignment horizontal="center" vertical="center"/>
    </xf>
    <xf numFmtId="0" fontId="22" fillId="3" borderId="9" xfId="0" applyFont="1" applyFill="1" applyBorder="1" applyAlignment="1">
      <alignment vertical="center"/>
    </xf>
    <xf numFmtId="0" fontId="87" fillId="9" borderId="1" xfId="0" applyFont="1" applyFill="1" applyBorder="1" applyAlignment="1">
      <alignment horizontal="center" vertical="center"/>
    </xf>
    <xf numFmtId="3" fontId="87" fillId="9" borderId="9" xfId="0" applyNumberFormat="1" applyFont="1" applyFill="1" applyBorder="1" applyAlignment="1" applyProtection="1">
      <alignment horizontal="center"/>
      <protection locked="0"/>
    </xf>
    <xf numFmtId="3" fontId="87" fillId="9" borderId="9" xfId="0" applyNumberFormat="1" applyFont="1" applyFill="1" applyBorder="1" applyAlignment="1" applyProtection="1">
      <alignment horizontal="center"/>
    </xf>
    <xf numFmtId="9" fontId="87" fillId="0" borderId="1" xfId="0" applyNumberFormat="1" applyFont="1" applyFill="1" applyBorder="1" applyAlignment="1" applyProtection="1">
      <alignment horizontal="center"/>
    </xf>
    <xf numFmtId="169" fontId="87" fillId="9" borderId="1" xfId="2" applyNumberFormat="1" applyFont="1" applyFill="1" applyBorder="1" applyAlignment="1" applyProtection="1">
      <alignment horizontal="center"/>
      <protection locked="0"/>
    </xf>
    <xf numFmtId="169" fontId="87" fillId="9" borderId="1" xfId="2" applyNumberFormat="1" applyFont="1" applyFill="1" applyBorder="1" applyAlignment="1" applyProtection="1">
      <alignment horizontal="center"/>
    </xf>
    <xf numFmtId="169" fontId="87" fillId="0" borderId="1" xfId="2" applyNumberFormat="1" applyFont="1" applyFill="1" applyBorder="1" applyAlignment="1" applyProtection="1">
      <alignment horizontal="center"/>
    </xf>
    <xf numFmtId="3" fontId="70" fillId="0" borderId="1" xfId="0" applyNumberFormat="1" applyFont="1" applyFill="1" applyBorder="1" applyAlignment="1" applyProtection="1">
      <alignment horizontal="center"/>
    </xf>
    <xf numFmtId="0" fontId="87" fillId="0" borderId="9" xfId="0" applyFont="1" applyFill="1" applyBorder="1" applyProtection="1">
      <protection locked="0"/>
    </xf>
    <xf numFmtId="0" fontId="38" fillId="0" borderId="0" xfId="0" applyFont="1" applyFill="1" applyProtection="1">
      <protection locked="0"/>
    </xf>
    <xf numFmtId="0" fontId="38" fillId="0" borderId="1" xfId="0" applyFont="1" applyBorder="1" applyAlignment="1" applyProtection="1">
      <alignment horizontal="center" vertical="center"/>
      <protection locked="0"/>
    </xf>
    <xf numFmtId="0" fontId="38" fillId="0" borderId="9" xfId="0" applyFont="1" applyBorder="1" applyAlignment="1">
      <alignment horizontal="center" vertical="center"/>
    </xf>
    <xf numFmtId="0" fontId="88" fillId="0" borderId="9" xfId="0" applyFont="1" applyBorder="1" applyAlignment="1">
      <alignment vertical="center"/>
    </xf>
    <xf numFmtId="14" fontId="38" fillId="0" borderId="9" xfId="0" applyNumberFormat="1" applyFont="1" applyBorder="1" applyAlignment="1">
      <alignment vertical="center"/>
    </xf>
    <xf numFmtId="0" fontId="38" fillId="0" borderId="1" xfId="0" applyFont="1" applyFill="1" applyBorder="1" applyAlignment="1" applyProtection="1">
      <alignment horizontal="center" vertical="center"/>
    </xf>
    <xf numFmtId="1" fontId="38" fillId="13" borderId="1" xfId="0" applyNumberFormat="1" applyFont="1" applyFill="1" applyBorder="1" applyAlignment="1" applyProtection="1">
      <alignment horizontal="center" vertical="center"/>
    </xf>
    <xf numFmtId="1" fontId="38" fillId="2" borderId="9" xfId="0" applyNumberFormat="1" applyFont="1" applyFill="1" applyBorder="1" applyAlignment="1" applyProtection="1">
      <alignment horizontal="center" vertical="center"/>
      <protection locked="0"/>
    </xf>
    <xf numFmtId="0" fontId="38" fillId="13" borderId="1" xfId="0" applyFont="1" applyFill="1" applyBorder="1" applyAlignment="1" applyProtection="1">
      <alignment horizontal="center" vertical="center"/>
      <protection locked="0"/>
    </xf>
    <xf numFmtId="1" fontId="38" fillId="0" borderId="1" xfId="0" applyNumberFormat="1" applyFont="1" applyFill="1" applyBorder="1" applyAlignment="1" applyProtection="1">
      <alignment horizontal="center" vertical="center"/>
    </xf>
    <xf numFmtId="3" fontId="38" fillId="0" borderId="9" xfId="0" applyNumberFormat="1" applyFont="1" applyFill="1" applyBorder="1" applyAlignment="1" applyProtection="1">
      <alignment horizontal="center" vertical="center"/>
      <protection locked="0"/>
    </xf>
    <xf numFmtId="3" fontId="88" fillId="0" borderId="1" xfId="0" applyNumberFormat="1" applyFont="1" applyFill="1" applyBorder="1" applyAlignment="1" applyProtection="1">
      <alignment horizontal="center" vertical="center"/>
    </xf>
    <xf numFmtId="3" fontId="38" fillId="3" borderId="1" xfId="0" applyNumberFormat="1" applyFont="1" applyFill="1" applyBorder="1" applyAlignment="1" applyProtection="1">
      <alignment horizontal="center" vertical="center"/>
    </xf>
    <xf numFmtId="3" fontId="38" fillId="3" borderId="1" xfId="0" applyNumberFormat="1" applyFont="1" applyFill="1" applyBorder="1" applyAlignment="1" applyProtection="1">
      <alignment horizontal="center" vertical="center"/>
      <protection locked="0"/>
    </xf>
    <xf numFmtId="3" fontId="38" fillId="9" borderId="1" xfId="0" applyNumberFormat="1" applyFont="1" applyFill="1" applyBorder="1" applyAlignment="1" applyProtection="1">
      <alignment horizontal="center" vertical="center"/>
    </xf>
    <xf numFmtId="3" fontId="38" fillId="9" borderId="1" xfId="1" applyNumberFormat="1" applyFont="1" applyFill="1" applyBorder="1" applyAlignment="1" applyProtection="1">
      <alignment horizontal="center" vertical="center"/>
      <protection locked="0"/>
    </xf>
    <xf numFmtId="3" fontId="38" fillId="0" borderId="1" xfId="1" applyNumberFormat="1" applyFont="1" applyFill="1" applyBorder="1" applyAlignment="1" applyProtection="1">
      <alignment horizontal="center" vertical="center"/>
      <protection locked="0"/>
    </xf>
    <xf numFmtId="3" fontId="38" fillId="12" borderId="1" xfId="1" applyNumberFormat="1" applyFont="1" applyFill="1" applyBorder="1" applyAlignment="1" applyProtection="1">
      <alignment horizontal="center" vertical="center"/>
      <protection locked="0"/>
    </xf>
    <xf numFmtId="176" fontId="38" fillId="3" borderId="1" xfId="1" applyNumberFormat="1" applyFont="1" applyFill="1" applyBorder="1" applyAlignment="1" applyProtection="1">
      <alignment horizontal="center" vertical="center"/>
    </xf>
    <xf numFmtId="176" fontId="38" fillId="3" borderId="9" xfId="1" applyNumberFormat="1" applyFont="1" applyFill="1" applyBorder="1" applyAlignment="1" applyProtection="1">
      <alignment horizontal="left" vertical="center"/>
    </xf>
    <xf numFmtId="0" fontId="25" fillId="0" borderId="0" xfId="0" applyFont="1" applyAlignment="1" applyProtection="1">
      <alignment vertical="center"/>
      <protection locked="0"/>
    </xf>
    <xf numFmtId="0" fontId="89" fillId="0" borderId="0" xfId="56"/>
    <xf numFmtId="0" fontId="90" fillId="0" borderId="9" xfId="56" applyFont="1" applyBorder="1" applyAlignment="1">
      <alignment horizontal="center" vertical="center"/>
    </xf>
    <xf numFmtId="0" fontId="90" fillId="0" borderId="9" xfId="56" applyFont="1" applyBorder="1" applyAlignment="1">
      <alignment horizontal="center" vertical="center" wrapText="1"/>
    </xf>
    <xf numFmtId="0" fontId="93" fillId="0" borderId="10" xfId="56" applyFont="1" applyBorder="1" applyAlignment="1">
      <alignment horizontal="center" vertical="center"/>
    </xf>
    <xf numFmtId="0" fontId="93" fillId="0" borderId="12" xfId="56" applyFont="1" applyBorder="1" applyAlignment="1">
      <alignment horizontal="center" vertical="center"/>
    </xf>
    <xf numFmtId="168" fontId="15" fillId="18" borderId="9" xfId="8" applyNumberFormat="1" applyFont="1" applyFill="1" applyBorder="1" applyAlignment="1" applyProtection="1">
      <alignment horizontal="center" vertical="center"/>
      <protection locked="0"/>
    </xf>
    <xf numFmtId="168" fontId="15" fillId="19" borderId="9" xfId="8" applyNumberFormat="1" applyFont="1" applyFill="1" applyBorder="1" applyAlignment="1" applyProtection="1">
      <alignment horizontal="center" vertical="center"/>
      <protection locked="0"/>
    </xf>
    <xf numFmtId="0" fontId="90" fillId="0" borderId="0" xfId="56" applyFont="1"/>
    <xf numFmtId="0" fontId="91" fillId="0" borderId="0" xfId="56" applyFont="1" applyAlignment="1">
      <alignment horizontal="center"/>
    </xf>
    <xf numFmtId="0" fontId="90" fillId="0" borderId="0" xfId="56" applyFont="1" applyAlignment="1">
      <alignment horizontal="center"/>
    </xf>
    <xf numFmtId="0" fontId="90" fillId="0" borderId="2" xfId="56" applyFont="1" applyBorder="1" applyAlignment="1">
      <alignment horizontal="center" vertical="center" wrapText="1"/>
    </xf>
    <xf numFmtId="0" fontId="90" fillId="0" borderId="3" xfId="56" applyFont="1" applyBorder="1" applyAlignment="1">
      <alignment horizontal="center" vertical="center" wrapText="1"/>
    </xf>
    <xf numFmtId="0" fontId="90" fillId="0" borderId="4" xfId="56" applyFont="1" applyBorder="1" applyAlignment="1">
      <alignment horizontal="center" vertical="center" wrapText="1"/>
    </xf>
    <xf numFmtId="0" fontId="90" fillId="0" borderId="5" xfId="56" applyFont="1" applyBorder="1" applyAlignment="1">
      <alignment horizontal="center" vertical="center" wrapText="1"/>
    </xf>
    <xf numFmtId="0" fontId="93" fillId="0" borderId="2" xfId="56" applyFont="1" applyBorder="1" applyAlignment="1">
      <alignment horizontal="center" vertical="center"/>
    </xf>
    <xf numFmtId="0" fontId="93" fillId="0" borderId="3" xfId="56" applyFont="1" applyBorder="1" applyAlignment="1">
      <alignment horizontal="center" vertical="center"/>
    </xf>
    <xf numFmtId="0" fontId="93" fillId="0" borderId="11" xfId="56" applyFont="1" applyBorder="1" applyAlignment="1">
      <alignment horizontal="center" vertical="center"/>
    </xf>
    <xf numFmtId="0" fontId="90" fillId="0" borderId="6" xfId="56" applyFont="1" applyBorder="1" applyAlignment="1">
      <alignment horizontal="center" vertical="center" wrapText="1"/>
    </xf>
    <xf numFmtId="0" fontId="92" fillId="17" borderId="4" xfId="56" applyFont="1" applyFill="1" applyBorder="1"/>
    <xf numFmtId="0" fontId="92" fillId="17" borderId="6" xfId="56" applyFont="1" applyFill="1" applyBorder="1"/>
    <xf numFmtId="0" fontId="92" fillId="17" borderId="5" xfId="56" applyFont="1" applyFill="1" applyBorder="1"/>
    <xf numFmtId="0" fontId="93" fillId="0" borderId="2" xfId="56" applyFont="1" applyBorder="1"/>
    <xf numFmtId="0" fontId="93" fillId="0" borderId="3" xfId="56" applyFont="1" applyBorder="1"/>
    <xf numFmtId="0" fontId="1" fillId="3" borderId="0" xfId="0" applyFont="1" applyFill="1" applyAlignment="1">
      <alignment horizontal="center"/>
    </xf>
    <xf numFmtId="0" fontId="14" fillId="0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14" fillId="3" borderId="0" xfId="0" applyFont="1" applyFill="1" applyAlignment="1">
      <alignment horizontal="center"/>
    </xf>
    <xf numFmtId="0" fontId="3" fillId="0" borderId="0" xfId="0" applyFont="1" applyFill="1" applyAlignment="1">
      <alignment horizontal="center"/>
    </xf>
    <xf numFmtId="0" fontId="6" fillId="3" borderId="0" xfId="0" applyFont="1" applyFill="1" applyAlignment="1">
      <alignment horizontal="center"/>
    </xf>
    <xf numFmtId="165" fontId="19" fillId="0" borderId="7" xfId="5" applyFont="1" applyBorder="1" applyAlignment="1">
      <alignment horizontal="center" vertical="center" wrapText="1"/>
    </xf>
    <xf numFmtId="165" fontId="31" fillId="0" borderId="7" xfId="5" applyFont="1" applyBorder="1" applyAlignment="1">
      <alignment horizontal="center" vertical="center" wrapText="1"/>
    </xf>
    <xf numFmtId="170" fontId="14" fillId="0" borderId="1" xfId="8" applyNumberFormat="1" applyFont="1" applyFill="1" applyBorder="1" applyAlignment="1">
      <alignment horizontal="center" vertical="center" wrapText="1"/>
    </xf>
    <xf numFmtId="170" fontId="14" fillId="14" borderId="1" xfId="0" applyNumberFormat="1" applyFont="1" applyFill="1" applyBorder="1" applyAlignment="1">
      <alignment horizontal="center" vertical="center" textRotation="180"/>
    </xf>
    <xf numFmtId="0" fontId="14" fillId="14" borderId="1" xfId="0" applyNumberFormat="1" applyFont="1" applyFill="1" applyBorder="1" applyAlignment="1">
      <alignment horizontal="center" vertical="center" textRotation="180" wrapText="1"/>
    </xf>
    <xf numFmtId="0" fontId="14" fillId="14" borderId="1" xfId="0" applyNumberFormat="1" applyFont="1" applyFill="1" applyBorder="1" applyAlignment="1">
      <alignment horizontal="center" vertical="center" textRotation="180"/>
    </xf>
    <xf numFmtId="170" fontId="14" fillId="15" borderId="2" xfId="8" applyNumberFormat="1" applyFont="1" applyFill="1" applyBorder="1" applyAlignment="1" applyProtection="1">
      <alignment horizontal="center" vertical="center" wrapText="1"/>
      <protection locked="0"/>
    </xf>
    <xf numFmtId="170" fontId="14" fillId="15" borderId="3" xfId="8" applyNumberFormat="1" applyFont="1" applyFill="1" applyBorder="1" applyAlignment="1" applyProtection="1">
      <alignment horizontal="center" vertical="center" wrapText="1"/>
      <protection locked="0"/>
    </xf>
    <xf numFmtId="0" fontId="3" fillId="15" borderId="1" xfId="0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0" fontId="17" fillId="3" borderId="7" xfId="0" applyFont="1" applyFill="1" applyBorder="1" applyAlignment="1">
      <alignment horizontal="center" vertical="center"/>
    </xf>
    <xf numFmtId="0" fontId="17" fillId="3" borderId="1" xfId="0" applyFont="1" applyFill="1" applyBorder="1" applyAlignment="1">
      <alignment horizontal="left" vertical="center"/>
    </xf>
    <xf numFmtId="0" fontId="15" fillId="3" borderId="0" xfId="0" applyFont="1" applyFill="1" applyAlignment="1">
      <alignment horizontal="center" vertical="center"/>
    </xf>
    <xf numFmtId="0" fontId="14" fillId="15" borderId="1" xfId="0" applyNumberFormat="1" applyFont="1" applyFill="1" applyBorder="1" applyAlignment="1">
      <alignment horizontal="center" vertical="center" textRotation="180" wrapText="1"/>
    </xf>
    <xf numFmtId="0" fontId="14" fillId="15" borderId="1" xfId="0" applyNumberFormat="1" applyFont="1" applyFill="1" applyBorder="1" applyAlignment="1">
      <alignment horizontal="center" vertical="center" textRotation="180"/>
    </xf>
    <xf numFmtId="171" fontId="14" fillId="15" borderId="2" xfId="2" applyNumberFormat="1" applyFont="1" applyFill="1" applyBorder="1" applyAlignment="1" applyProtection="1">
      <alignment horizontal="center" vertical="center" wrapText="1"/>
      <protection locked="0"/>
    </xf>
    <xf numFmtId="171" fontId="14" fillId="15" borderId="3" xfId="2" applyNumberFormat="1" applyFont="1" applyFill="1" applyBorder="1" applyAlignment="1" applyProtection="1">
      <alignment horizontal="center" vertical="center" wrapText="1"/>
      <protection locked="0"/>
    </xf>
    <xf numFmtId="168" fontId="38" fillId="10" borderId="4" xfId="8" applyNumberFormat="1" applyFont="1" applyFill="1" applyBorder="1" applyAlignment="1" applyProtection="1">
      <alignment horizontal="center" vertical="center"/>
      <protection locked="0"/>
    </xf>
    <xf numFmtId="168" fontId="38" fillId="10" borderId="6" xfId="8" applyNumberFormat="1" applyFont="1" applyFill="1" applyBorder="1" applyAlignment="1" applyProtection="1">
      <alignment horizontal="center" vertical="center"/>
      <protection locked="0"/>
    </xf>
    <xf numFmtId="168" fontId="38" fillId="10" borderId="5" xfId="8" applyNumberFormat="1" applyFont="1" applyFill="1" applyBorder="1" applyAlignment="1" applyProtection="1">
      <alignment horizontal="center" vertical="center"/>
      <protection locked="0"/>
    </xf>
    <xf numFmtId="0" fontId="17" fillId="3" borderId="4" xfId="0" applyFont="1" applyFill="1" applyBorder="1" applyAlignment="1">
      <alignment horizontal="left" vertical="center" wrapText="1"/>
    </xf>
    <xf numFmtId="0" fontId="17" fillId="3" borderId="6" xfId="0" applyFont="1" applyFill="1" applyBorder="1" applyAlignment="1">
      <alignment horizontal="left" vertical="center" wrapText="1"/>
    </xf>
    <xf numFmtId="0" fontId="17" fillId="3" borderId="5" xfId="0" applyFont="1" applyFill="1" applyBorder="1" applyAlignment="1">
      <alignment horizontal="left" vertical="center" wrapText="1"/>
    </xf>
    <xf numFmtId="0" fontId="17" fillId="3" borderId="1" xfId="0" applyFont="1" applyFill="1" applyBorder="1" applyAlignment="1">
      <alignment horizontal="left" vertical="center" wrapText="1"/>
    </xf>
    <xf numFmtId="170" fontId="14" fillId="15" borderId="9" xfId="8" applyNumberFormat="1" applyFont="1" applyFill="1" applyBorder="1" applyAlignment="1" applyProtection="1">
      <alignment horizontal="center" vertical="center" wrapText="1"/>
      <protection locked="0"/>
    </xf>
    <xf numFmtId="165" fontId="31" fillId="0" borderId="7" xfId="5" applyFont="1" applyFill="1" applyBorder="1" applyAlignment="1">
      <alignment horizontal="center" vertical="center" wrapText="1"/>
    </xf>
    <xf numFmtId="170" fontId="14" fillId="3" borderId="1" xfId="8" applyNumberFormat="1" applyFont="1" applyFill="1" applyBorder="1" applyAlignment="1">
      <alignment horizontal="center" vertical="center" wrapText="1"/>
    </xf>
    <xf numFmtId="170" fontId="14" fillId="15" borderId="1" xfId="8" applyNumberFormat="1" applyFont="1" applyFill="1" applyBorder="1" applyAlignment="1" applyProtection="1">
      <alignment horizontal="center" vertical="center" wrapText="1"/>
      <protection locked="0"/>
    </xf>
    <xf numFmtId="0" fontId="16" fillId="3" borderId="0" xfId="0" applyFont="1" applyFill="1" applyAlignment="1">
      <alignment horizontal="center"/>
    </xf>
    <xf numFmtId="0" fontId="1" fillId="0" borderId="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3" borderId="0" xfId="0" applyFont="1" applyFill="1" applyAlignment="1">
      <alignment horizontal="center"/>
    </xf>
    <xf numFmtId="0" fontId="1" fillId="0" borderId="0" xfId="0" applyFont="1" applyFill="1" applyAlignment="1" applyProtection="1">
      <alignment horizontal="center"/>
      <protection locked="0"/>
    </xf>
    <xf numFmtId="169" fontId="1" fillId="0" borderId="0" xfId="2" applyNumberFormat="1" applyFont="1" applyFill="1" applyAlignment="1" applyProtection="1">
      <alignment horizontal="center"/>
      <protection locked="0"/>
    </xf>
    <xf numFmtId="0" fontId="1" fillId="0" borderId="4" xfId="0" applyFont="1" applyFill="1" applyBorder="1" applyAlignment="1" applyProtection="1">
      <alignment horizontal="left"/>
      <protection locked="0"/>
    </xf>
    <xf numFmtId="0" fontId="1" fillId="0" borderId="6" xfId="0" applyFont="1" applyFill="1" applyBorder="1" applyAlignment="1" applyProtection="1">
      <alignment horizontal="left"/>
      <protection locked="0"/>
    </xf>
    <xf numFmtId="0" fontId="1" fillId="0" borderId="5" xfId="0" applyFont="1" applyFill="1" applyBorder="1" applyAlignment="1" applyProtection="1">
      <alignment horizontal="left"/>
      <protection locked="0"/>
    </xf>
    <xf numFmtId="0" fontId="1" fillId="0" borderId="1" xfId="0" applyFont="1" applyFill="1" applyBorder="1" applyAlignment="1" applyProtection="1">
      <alignment horizontal="left"/>
      <protection locked="0"/>
    </xf>
    <xf numFmtId="0" fontId="2" fillId="0" borderId="0" xfId="0" applyFont="1" applyFill="1" applyAlignment="1" applyProtection="1">
      <alignment horizontal="center"/>
      <protection locked="0"/>
    </xf>
    <xf numFmtId="0" fontId="7" fillId="0" borderId="4" xfId="0" applyFont="1" applyFill="1" applyBorder="1" applyAlignment="1" applyProtection="1">
      <alignment horizontal="center" vertical="center" wrapText="1"/>
      <protection locked="0"/>
    </xf>
    <xf numFmtId="0" fontId="7" fillId="0" borderId="6" xfId="0" applyFont="1" applyFill="1" applyBorder="1" applyAlignment="1" applyProtection="1">
      <alignment horizontal="center" vertical="center" wrapText="1"/>
      <protection locked="0"/>
    </xf>
    <xf numFmtId="0" fontId="7" fillId="0" borderId="5" xfId="0" applyFont="1" applyFill="1" applyBorder="1" applyAlignment="1" applyProtection="1">
      <alignment horizontal="center" vertical="center" wrapText="1"/>
      <protection locked="0"/>
    </xf>
    <xf numFmtId="0" fontId="7" fillId="0" borderId="0" xfId="0" applyFont="1" applyFill="1" applyAlignment="1" applyProtection="1">
      <alignment horizontal="left" vertical="center"/>
      <protection locked="0"/>
    </xf>
    <xf numFmtId="0" fontId="3" fillId="0" borderId="0" xfId="0" applyFont="1" applyFill="1" applyAlignment="1" applyProtection="1">
      <alignment horizontal="left"/>
      <protection locked="0"/>
    </xf>
    <xf numFmtId="0" fontId="7" fillId="0" borderId="0" xfId="0" applyFont="1" applyFill="1" applyAlignment="1" applyProtection="1">
      <alignment horizontal="left" vertical="center" wrapText="1"/>
      <protection locked="0"/>
    </xf>
    <xf numFmtId="0" fontId="23" fillId="0" borderId="0" xfId="0" applyFont="1" applyAlignment="1" applyProtection="1">
      <alignment horizontal="center"/>
      <protection locked="0"/>
    </xf>
    <xf numFmtId="0" fontId="35" fillId="0" borderId="0" xfId="0" applyFont="1" applyAlignment="1" applyProtection="1">
      <alignment horizontal="center"/>
      <protection locked="0"/>
    </xf>
    <xf numFmtId="0" fontId="5" fillId="0" borderId="1" xfId="0" applyFont="1" applyFill="1" applyBorder="1" applyAlignment="1" applyProtection="1">
      <alignment horizontal="center" vertical="center" wrapText="1"/>
      <protection locked="0"/>
    </xf>
    <xf numFmtId="0" fontId="5" fillId="3" borderId="1" xfId="0" applyFont="1" applyFill="1" applyBorder="1" applyAlignment="1" applyProtection="1">
      <alignment horizontal="center" vertical="center" wrapText="1"/>
      <protection locked="0"/>
    </xf>
    <xf numFmtId="0" fontId="5" fillId="3" borderId="2" xfId="0" applyFont="1" applyFill="1" applyBorder="1" applyAlignment="1" applyProtection="1">
      <alignment horizontal="center" vertical="center" wrapText="1"/>
      <protection locked="0"/>
    </xf>
    <xf numFmtId="0" fontId="5" fillId="3" borderId="8" xfId="0" applyFont="1" applyFill="1" applyBorder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/>
      <protection locked="0"/>
    </xf>
    <xf numFmtId="0" fontId="5" fillId="0" borderId="1" xfId="0" applyFont="1" applyBorder="1" applyAlignment="1" applyProtection="1">
      <alignment horizontal="center" vertical="center" wrapText="1"/>
      <protection locked="0"/>
    </xf>
    <xf numFmtId="14" fontId="5" fillId="0" borderId="2" xfId="0" applyNumberFormat="1" applyFont="1" applyBorder="1" applyAlignment="1" applyProtection="1">
      <alignment horizontal="center" vertical="center" wrapText="1"/>
      <protection locked="0"/>
    </xf>
    <xf numFmtId="14" fontId="5" fillId="0" borderId="8" xfId="0" applyNumberFormat="1" applyFont="1" applyBorder="1" applyAlignment="1" applyProtection="1">
      <alignment horizontal="center" vertical="center" wrapText="1"/>
      <protection locked="0"/>
    </xf>
    <xf numFmtId="14" fontId="5" fillId="0" borderId="3" xfId="0" applyNumberFormat="1" applyFont="1" applyBorder="1" applyAlignment="1" applyProtection="1">
      <alignment horizontal="center" vertical="center" wrapText="1"/>
      <protection locked="0"/>
    </xf>
    <xf numFmtId="0" fontId="5" fillId="0" borderId="2" xfId="0" applyFont="1" applyBorder="1" applyAlignment="1" applyProtection="1">
      <alignment horizontal="center" vertical="center" wrapText="1"/>
      <protection locked="0"/>
    </xf>
    <xf numFmtId="0" fontId="5" fillId="0" borderId="8" xfId="0" applyFont="1" applyBorder="1" applyAlignment="1" applyProtection="1">
      <alignment horizontal="center" vertical="center" wrapText="1"/>
      <protection locked="0"/>
    </xf>
    <xf numFmtId="0" fontId="5" fillId="0" borderId="3" xfId="0" applyFont="1" applyBorder="1" applyAlignment="1" applyProtection="1">
      <alignment horizontal="center" vertical="center" wrapText="1"/>
      <protection locked="0"/>
    </xf>
    <xf numFmtId="0" fontId="5" fillId="0" borderId="7" xfId="0" applyFont="1" applyBorder="1" applyAlignment="1" applyProtection="1">
      <alignment horizontal="center" vertical="center"/>
      <protection locked="0"/>
    </xf>
  </cellXfs>
  <cellStyles count="57">
    <cellStyle name="Comma" xfId="1" builtinId="3"/>
    <cellStyle name="Comma 2" xfId="4" xr:uid="{00000000-0005-0000-0000-000001000000}"/>
    <cellStyle name="Comma 3" xfId="2" xr:uid="{00000000-0005-0000-0000-000002000000}"/>
    <cellStyle name="Comma 4" xfId="46" xr:uid="{00000000-0005-0000-0000-000003000000}"/>
    <cellStyle name="Comma 5" xfId="50" xr:uid="{00000000-0005-0000-0000-000004000000}"/>
    <cellStyle name="Normal" xfId="0" builtinId="0"/>
    <cellStyle name="Normal 10" xfId="18" xr:uid="{00000000-0005-0000-0000-000006000000}"/>
    <cellStyle name="Normal 11" xfId="19" xr:uid="{00000000-0005-0000-0000-000007000000}"/>
    <cellStyle name="Normal 12" xfId="20" xr:uid="{00000000-0005-0000-0000-000008000000}"/>
    <cellStyle name="Normal 13" xfId="21" xr:uid="{00000000-0005-0000-0000-000009000000}"/>
    <cellStyle name="Normal 14" xfId="22" xr:uid="{00000000-0005-0000-0000-00000A000000}"/>
    <cellStyle name="Normal 15" xfId="23" xr:uid="{00000000-0005-0000-0000-00000B000000}"/>
    <cellStyle name="Normal 16" xfId="24" xr:uid="{00000000-0005-0000-0000-00000C000000}"/>
    <cellStyle name="Normal 17" xfId="25" xr:uid="{00000000-0005-0000-0000-00000D000000}"/>
    <cellStyle name="Normal 18" xfId="26" xr:uid="{00000000-0005-0000-0000-00000E000000}"/>
    <cellStyle name="Normal 19" xfId="27" xr:uid="{00000000-0005-0000-0000-00000F000000}"/>
    <cellStyle name="Normal 2" xfId="6" xr:uid="{00000000-0005-0000-0000-000010000000}"/>
    <cellStyle name="Normal 2 2" xfId="51" xr:uid="{00000000-0005-0000-0000-000011000000}"/>
    <cellStyle name="Normal 2 2 2" xfId="54" xr:uid="{00000000-0005-0000-0000-000012000000}"/>
    <cellStyle name="Normal 20" xfId="28" xr:uid="{00000000-0005-0000-0000-000013000000}"/>
    <cellStyle name="Normal 21" xfId="29" xr:uid="{00000000-0005-0000-0000-000014000000}"/>
    <cellStyle name="Normal 22" xfId="30" xr:uid="{00000000-0005-0000-0000-000015000000}"/>
    <cellStyle name="Normal 23" xfId="5" xr:uid="{00000000-0005-0000-0000-000016000000}"/>
    <cellStyle name="Normal 24" xfId="31" xr:uid="{00000000-0005-0000-0000-000017000000}"/>
    <cellStyle name="Normal 25" xfId="32" xr:uid="{00000000-0005-0000-0000-000018000000}"/>
    <cellStyle name="Normal 26" xfId="33" xr:uid="{00000000-0005-0000-0000-000019000000}"/>
    <cellStyle name="Normal 27" xfId="34" xr:uid="{00000000-0005-0000-0000-00001A000000}"/>
    <cellStyle name="Normal 28" xfId="35" xr:uid="{00000000-0005-0000-0000-00001B000000}"/>
    <cellStyle name="Normal 29" xfId="36" xr:uid="{00000000-0005-0000-0000-00001C000000}"/>
    <cellStyle name="Normal 3" xfId="7" xr:uid="{00000000-0005-0000-0000-00001D000000}"/>
    <cellStyle name="Normal 3 4" xfId="42" xr:uid="{00000000-0005-0000-0000-00001E000000}"/>
    <cellStyle name="Normal 30" xfId="37" xr:uid="{00000000-0005-0000-0000-00001F000000}"/>
    <cellStyle name="Normal 31" xfId="38" xr:uid="{00000000-0005-0000-0000-000020000000}"/>
    <cellStyle name="Normal 32" xfId="39" xr:uid="{00000000-0005-0000-0000-000021000000}"/>
    <cellStyle name="Normal 33" xfId="40" xr:uid="{00000000-0005-0000-0000-000022000000}"/>
    <cellStyle name="Normal 34" xfId="41" xr:uid="{00000000-0005-0000-0000-000023000000}"/>
    <cellStyle name="Normal 34 2" xfId="47" xr:uid="{00000000-0005-0000-0000-000024000000}"/>
    <cellStyle name="Normal 35" xfId="43" xr:uid="{00000000-0005-0000-0000-000025000000}"/>
    <cellStyle name="Normal 36" xfId="44" xr:uid="{00000000-0005-0000-0000-000026000000}"/>
    <cellStyle name="Normal 37" xfId="45" xr:uid="{00000000-0005-0000-0000-000027000000}"/>
    <cellStyle name="Normal 38" xfId="48" xr:uid="{00000000-0005-0000-0000-000028000000}"/>
    <cellStyle name="Normal 39" xfId="49" xr:uid="{00000000-0005-0000-0000-000029000000}"/>
    <cellStyle name="Normal 4" xfId="11" xr:uid="{00000000-0005-0000-0000-00002A000000}"/>
    <cellStyle name="Normal 40" xfId="52" xr:uid="{00000000-0005-0000-0000-00002B000000}"/>
    <cellStyle name="Normal 41" xfId="53" xr:uid="{00000000-0005-0000-0000-00002C000000}"/>
    <cellStyle name="Normal 42" xfId="55" xr:uid="{00000000-0005-0000-0000-00002D000000}"/>
    <cellStyle name="Normal 43" xfId="56" xr:uid="{00000000-0005-0000-0000-00002E000000}"/>
    <cellStyle name="Normal 5" xfId="12" xr:uid="{00000000-0005-0000-0000-00002F000000}"/>
    <cellStyle name="Normal 5 2" xfId="13" xr:uid="{00000000-0005-0000-0000-000030000000}"/>
    <cellStyle name="Normal 6" xfId="14" xr:uid="{00000000-0005-0000-0000-000031000000}"/>
    <cellStyle name="Normal 7" xfId="15" xr:uid="{00000000-0005-0000-0000-000032000000}"/>
    <cellStyle name="Normal 8" xfId="16" xr:uid="{00000000-0005-0000-0000-000033000000}"/>
    <cellStyle name="Normal 9" xfId="17" xr:uid="{00000000-0005-0000-0000-000034000000}"/>
    <cellStyle name="Percent" xfId="3" builtinId="5"/>
    <cellStyle name="Style 1" xfId="9" xr:uid="{00000000-0005-0000-0000-000036000000}"/>
    <cellStyle name="一般_1110行业采财" xfId="8" xr:uid="{00000000-0005-0000-0000-000037000000}"/>
    <cellStyle name="樣式 1" xfId="10" xr:uid="{00000000-0005-0000-0000-000038000000}"/>
  </cellStyles>
  <dxfs count="4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Y&#7871;n.2021\Ph&#250;c%20l&#7907;i\2025\Danh%20s&#225;ch%20th&#432;&#7903;ng%2002.09.202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Y&#7871;n.2021\L&#432;&#417;ng\L&#432;&#417;ng%202022\Th&#225;ng%2007.2022\L&#432;&#417;ng%20Vi&#7879;t%20B&#7897;%2007.2022%20-%20final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Y&#7871;n.2021\L&#432;&#417;ng\L&#432;&#417;ng%202024\TH&#193;NG%2010.2024\L&#432;&#417;ng%20Vi&#7879;t%20B&#7897;%20T10.2024%20-%20Ch&#7889;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Y&#7871;n.2021\L&#432;&#417;ng\L&#432;&#417;ng%20Setup\L&#432;&#417;ng%20Vi&#7879;t%20B&#7897;%20-%20M&#7851;u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angatang"/>
      <sheetName val="Thưởng 0209"/>
      <sheetName val="VIỆT BỘ - LƯƠNG THÁNG 09.20 (中文"/>
      <sheetName val="Phiếu lương T"/>
    </sheetNames>
    <sheetDataSet>
      <sheetData sheetId="0"/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ương 07.2022"/>
      <sheetName val="Giữ lương 07.2022"/>
      <sheetName val="Sheet1"/>
      <sheetName val="VIỆT BỘ - LƯƠNG THÁNG 09.20 (中文"/>
      <sheetName val="Phiếu lương T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ương"/>
      <sheetName val="Giữ lương"/>
      <sheetName val="Khấu trừ ĐP"/>
      <sheetName val="PHIẾU LƯƠNG"/>
      <sheetName val="TỶ LỆ"/>
      <sheetName val="VIỆT BỘ - LƯƠNG THÁNG 09.20 (中文"/>
      <sheetName val="Phiếu lương T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angatang"/>
      <sheetName val="Lương"/>
      <sheetName val="Giữ lương"/>
      <sheetName val="Khấu trừ ĐP"/>
      <sheetName val="PHIẾU LƯƠNG"/>
      <sheetName val="TỶ LỆ"/>
      <sheetName val="THƯỞNG THI ĐUA CỬA HÀNG"/>
      <sheetName val="VIỆT BỘ - LƯƠNG THÁNG 09.20 (中文"/>
      <sheetName val="Phiếu lương T"/>
    </sheetNames>
    <sheetDataSet>
      <sheetData sheetId="0"/>
      <sheetData sheetId="1">
        <row r="9">
          <cell r="C9" t="str">
            <v>VB00005</v>
          </cell>
          <cell r="D9" t="str">
            <v>NGUYỄN THỊ MAI HOA</v>
          </cell>
          <cell r="E9" t="str">
            <v>CHT</v>
          </cell>
          <cell r="F9" t="str">
            <v>Cao cấp</v>
          </cell>
          <cell r="G9">
            <v>43683</v>
          </cell>
          <cell r="H9">
            <v>43683</v>
          </cell>
          <cell r="I9">
            <v>6</v>
          </cell>
          <cell r="J9" t="str">
            <v>Chính thức</v>
          </cell>
          <cell r="K9">
            <v>26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5860000</v>
          </cell>
          <cell r="V9">
            <v>700000</v>
          </cell>
          <cell r="W9">
            <v>2000000</v>
          </cell>
          <cell r="X9">
            <v>1100000</v>
          </cell>
          <cell r="Y9">
            <v>400000</v>
          </cell>
          <cell r="Z9">
            <v>10060000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F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N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>
            <v>27900000</v>
          </cell>
          <cell r="AX9">
            <v>-3100000</v>
          </cell>
          <cell r="AY9">
            <v>0</v>
          </cell>
          <cell r="AZ9">
            <v>0</v>
          </cell>
          <cell r="BC9">
            <v>0</v>
          </cell>
          <cell r="BE9">
            <v>0</v>
          </cell>
          <cell r="BF9">
            <v>0</v>
          </cell>
          <cell r="BG9" t="str">
            <v>CK</v>
          </cell>
          <cell r="BH9" t="str">
            <v>2680348464</v>
          </cell>
          <cell r="BI9" t="str">
            <v>Ngân hàng TMCP Đầu tư và Phát triển  Việt Nam (BIDV)</v>
          </cell>
          <cell r="BL9">
            <v>0</v>
          </cell>
          <cell r="BM9" t="str">
            <v>Nữ</v>
          </cell>
          <cell r="BN9">
            <v>226930</v>
          </cell>
          <cell r="BP9">
            <v>226930</v>
          </cell>
          <cell r="BQ9">
            <v>-226930</v>
          </cell>
          <cell r="BR9" t="str">
            <v>2680348464</v>
          </cell>
        </row>
        <row r="10">
          <cell r="C10" t="str">
            <v>VB00098</v>
          </cell>
          <cell r="D10" t="str">
            <v>VŨ THỊ TRÀ GIANG</v>
          </cell>
          <cell r="E10" t="str">
            <v xml:space="preserve">NVBH </v>
          </cell>
          <cell r="F10" t="str">
            <v>Trung cấp</v>
          </cell>
          <cell r="G10">
            <v>44358</v>
          </cell>
          <cell r="H10">
            <v>44498</v>
          </cell>
          <cell r="I10">
            <v>5</v>
          </cell>
          <cell r="J10" t="str">
            <v>Chính thức</v>
          </cell>
          <cell r="K10">
            <v>26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5310000</v>
          </cell>
          <cell r="V10">
            <v>700000</v>
          </cell>
          <cell r="W10">
            <v>650000</v>
          </cell>
          <cell r="X10">
            <v>500000</v>
          </cell>
          <cell r="Y10">
            <v>400000</v>
          </cell>
          <cell r="Z10">
            <v>7560000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F10">
            <v>0</v>
          </cell>
          <cell r="AH10" t="e">
            <v>#DIV/0!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N10">
            <v>0</v>
          </cell>
          <cell r="AP10">
            <v>0</v>
          </cell>
          <cell r="AQ10" t="e">
            <v>#DIV/0!</v>
          </cell>
          <cell r="AR10" t="e">
            <v>#DIV/0!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15500000</v>
          </cell>
          <cell r="AX10" t="e">
            <v>#DIV/0!</v>
          </cell>
          <cell r="AY10" t="e">
            <v>#DIV/0!</v>
          </cell>
          <cell r="AZ10" t="e">
            <v>#DIV/0!</v>
          </cell>
          <cell r="BC10" t="e">
            <v>#DIV/0!</v>
          </cell>
          <cell r="BE10" t="e">
            <v>#DIV/0!</v>
          </cell>
          <cell r="BF10" t="e">
            <v>#DIV/0!</v>
          </cell>
          <cell r="BG10" t="str">
            <v>CK</v>
          </cell>
          <cell r="BH10">
            <v>2224268409</v>
          </cell>
          <cell r="BI10" t="str">
            <v>BIDV</v>
          </cell>
          <cell r="BR10">
            <v>2224268409</v>
          </cell>
        </row>
        <row r="11">
          <cell r="C11" t="str">
            <v>VB00491</v>
          </cell>
          <cell r="D11" t="str">
            <v>NGUYỄN THỊ NHƯ</v>
          </cell>
          <cell r="E11" t="str">
            <v xml:space="preserve">NVBH </v>
          </cell>
          <cell r="F11" t="str">
            <v>Trung cấp</v>
          </cell>
          <cell r="G11">
            <v>45638</v>
          </cell>
          <cell r="H11">
            <v>45699</v>
          </cell>
          <cell r="I11">
            <v>1</v>
          </cell>
          <cell r="J11" t="str">
            <v>Chính thức</v>
          </cell>
          <cell r="K11">
            <v>26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5310000</v>
          </cell>
          <cell r="V11">
            <v>700000</v>
          </cell>
          <cell r="W11">
            <v>650000</v>
          </cell>
          <cell r="X11">
            <v>500000</v>
          </cell>
          <cell r="Y11">
            <v>400000</v>
          </cell>
          <cell r="Z11">
            <v>7560000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F11">
            <v>0</v>
          </cell>
          <cell r="AH11" t="e">
            <v>#DIV/0!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N11">
            <v>0</v>
          </cell>
          <cell r="AP11">
            <v>0</v>
          </cell>
          <cell r="AQ11" t="e">
            <v>#DIV/0!</v>
          </cell>
          <cell r="AR11" t="e">
            <v>#DIV/0!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15500000</v>
          </cell>
          <cell r="AX11" t="e">
            <v>#DIV/0!</v>
          </cell>
          <cell r="AY11" t="e">
            <v>#DIV/0!</v>
          </cell>
          <cell r="AZ11" t="e">
            <v>#DIV/0!</v>
          </cell>
          <cell r="BC11" t="e">
            <v>#DIV/0!</v>
          </cell>
          <cell r="BE11" t="e">
            <v>#DIV/0!</v>
          </cell>
          <cell r="BF11" t="e">
            <v>#DIV/0!</v>
          </cell>
          <cell r="BG11" t="str">
            <v>CK</v>
          </cell>
          <cell r="BH11">
            <v>8854435326</v>
          </cell>
          <cell r="BI11" t="str">
            <v>BIDV</v>
          </cell>
          <cell r="BM11" t="str">
            <v>Nữ</v>
          </cell>
          <cell r="BN11">
            <v>200000</v>
          </cell>
          <cell r="BP11">
            <v>250000</v>
          </cell>
          <cell r="BQ11">
            <v>-250000</v>
          </cell>
          <cell r="BR11">
            <v>8854435326</v>
          </cell>
        </row>
        <row r="12">
          <cell r="C12" t="str">
            <v>VB00687</v>
          </cell>
          <cell r="D12" t="str">
            <v>PHÙNG THỊ THU HÀ</v>
          </cell>
          <cell r="E12" t="str">
            <v xml:space="preserve">NVBH </v>
          </cell>
          <cell r="F12" t="str">
            <v>Sơ cấp</v>
          </cell>
          <cell r="G12">
            <v>46143</v>
          </cell>
          <cell r="H12">
            <v>46174</v>
          </cell>
          <cell r="I12">
            <v>0</v>
          </cell>
          <cell r="J12" t="str">
            <v>Thử việc</v>
          </cell>
          <cell r="K12">
            <v>26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5310000</v>
          </cell>
          <cell r="V12">
            <v>700000</v>
          </cell>
          <cell r="W12">
            <v>350000</v>
          </cell>
          <cell r="X12">
            <v>500000</v>
          </cell>
          <cell r="Y12">
            <v>0</v>
          </cell>
          <cell r="Z12">
            <v>6860000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F12">
            <v>0</v>
          </cell>
          <cell r="AH12" t="e">
            <v>#DIV/0!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N12">
            <v>0</v>
          </cell>
          <cell r="AQ12" t="e">
            <v>#DIV/0!</v>
          </cell>
          <cell r="AR12" t="e">
            <v>#DIV/0!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15500000</v>
          </cell>
          <cell r="AX12" t="e">
            <v>#DIV/0!</v>
          </cell>
          <cell r="AY12" t="e">
            <v>#DIV/0!</v>
          </cell>
          <cell r="AZ12" t="e">
            <v>#DIV/0!</v>
          </cell>
          <cell r="BB12">
            <v>700000</v>
          </cell>
          <cell r="BC12" t="e">
            <v>#DIV/0!</v>
          </cell>
          <cell r="BE12" t="e">
            <v>#DIV/0!</v>
          </cell>
          <cell r="BF12" t="e">
            <v>#DIV/0!</v>
          </cell>
          <cell r="BG12" t="str">
            <v>CK</v>
          </cell>
          <cell r="BH12">
            <v>8838657933</v>
          </cell>
          <cell r="BI12" t="str">
            <v>BIDV</v>
          </cell>
          <cell r="BR12">
            <v>8838657933</v>
          </cell>
        </row>
        <row r="13">
          <cell r="C13" t="str">
            <v>VB00688</v>
          </cell>
          <cell r="D13" t="str">
            <v>HOÀNG THU TRANG</v>
          </cell>
          <cell r="E13" t="str">
            <v xml:space="preserve">NVBH </v>
          </cell>
          <cell r="F13" t="str">
            <v>Sơ cấp</v>
          </cell>
          <cell r="G13">
            <v>46143</v>
          </cell>
          <cell r="H13">
            <v>46174</v>
          </cell>
          <cell r="I13">
            <v>0</v>
          </cell>
          <cell r="J13" t="str">
            <v>Thử việc</v>
          </cell>
          <cell r="K13">
            <v>26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5310000</v>
          </cell>
          <cell r="V13">
            <v>700000</v>
          </cell>
          <cell r="W13">
            <v>350000</v>
          </cell>
          <cell r="X13">
            <v>500000</v>
          </cell>
          <cell r="Y13">
            <v>0</v>
          </cell>
          <cell r="Z13">
            <v>6860000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F13">
            <v>0</v>
          </cell>
          <cell r="AH13" t="e">
            <v>#DIV/0!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N13">
            <v>0</v>
          </cell>
          <cell r="AQ13" t="e">
            <v>#DIV/0!</v>
          </cell>
          <cell r="AR13" t="e">
            <v>#DIV/0!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15500000</v>
          </cell>
          <cell r="AX13" t="e">
            <v>#DIV/0!</v>
          </cell>
          <cell r="AY13" t="e">
            <v>#DIV/0!</v>
          </cell>
          <cell r="AZ13" t="e">
            <v>#DIV/0!</v>
          </cell>
          <cell r="BB13">
            <v>700000</v>
          </cell>
          <cell r="BC13" t="e">
            <v>#DIV/0!</v>
          </cell>
          <cell r="BE13" t="e">
            <v>#DIV/0!</v>
          </cell>
          <cell r="BF13" t="e">
            <v>#DIV/0!</v>
          </cell>
          <cell r="BG13" t="str">
            <v>CK</v>
          </cell>
          <cell r="BH13">
            <v>2611182143</v>
          </cell>
          <cell r="BI13" t="str">
            <v>BIDV</v>
          </cell>
          <cell r="BR13">
            <v>2611182143</v>
          </cell>
        </row>
        <row r="14">
          <cell r="C14" t="str">
            <v>VB00707</v>
          </cell>
          <cell r="D14" t="str">
            <v>LÊ NGỌC NHI</v>
          </cell>
          <cell r="E14" t="str">
            <v xml:space="preserve">NVBH </v>
          </cell>
          <cell r="F14" t="str">
            <v>Sơ cấp</v>
          </cell>
          <cell r="G14">
            <v>46188</v>
          </cell>
          <cell r="H14">
            <v>46249</v>
          </cell>
          <cell r="I14">
            <v>0</v>
          </cell>
          <cell r="J14" t="str">
            <v>Thử việc</v>
          </cell>
          <cell r="K14">
            <v>26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5310000</v>
          </cell>
          <cell r="V14">
            <v>700000</v>
          </cell>
          <cell r="W14">
            <v>350000</v>
          </cell>
          <cell r="X14">
            <v>500000</v>
          </cell>
          <cell r="Y14">
            <v>0</v>
          </cell>
          <cell r="Z14">
            <v>6860000</v>
          </cell>
          <cell r="AA14">
            <v>0</v>
          </cell>
          <cell r="AB14">
            <v>0</v>
          </cell>
          <cell r="AD14">
            <v>0</v>
          </cell>
          <cell r="AF14">
            <v>0</v>
          </cell>
          <cell r="AH14" t="e">
            <v>#DIV/0!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N14">
            <v>0</v>
          </cell>
          <cell r="AQ14" t="e">
            <v>#DIV/0!</v>
          </cell>
          <cell r="AR14" t="e">
            <v>#DIV/0!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15500000</v>
          </cell>
          <cell r="AX14" t="e">
            <v>#DIV/0!</v>
          </cell>
          <cell r="AY14" t="e">
            <v>#DIV/0!</v>
          </cell>
          <cell r="AZ14" t="e">
            <v>#DIV/0!</v>
          </cell>
          <cell r="BC14" t="e">
            <v>#DIV/0!</v>
          </cell>
          <cell r="BE14" t="e">
            <v>#DIV/0!</v>
          </cell>
          <cell r="BF14" t="e">
            <v>#DIV/0!</v>
          </cell>
          <cell r="BG14" t="str">
            <v>CK</v>
          </cell>
        </row>
        <row r="15">
          <cell r="K15">
            <v>130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27100000</v>
          </cell>
          <cell r="V15">
            <v>3500000</v>
          </cell>
          <cell r="W15">
            <v>4000000</v>
          </cell>
          <cell r="X15">
            <v>3100000</v>
          </cell>
          <cell r="Y15">
            <v>1200000</v>
          </cell>
          <cell r="Z15">
            <v>38900000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 t="e">
            <v>#DIV/0!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 t="e">
            <v>#DIV/0!</v>
          </cell>
          <cell r="AR15" t="e">
            <v>#DIV/0!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89900000</v>
          </cell>
          <cell r="AX15" t="e">
            <v>#DIV/0!</v>
          </cell>
          <cell r="AY15" t="e">
            <v>#DIV/0!</v>
          </cell>
          <cell r="AZ15" t="e">
            <v>#DIV/0!</v>
          </cell>
          <cell r="BA15">
            <v>0</v>
          </cell>
          <cell r="BB15">
            <v>1400000</v>
          </cell>
          <cell r="BC15" t="e">
            <v>#DIV/0!</v>
          </cell>
          <cell r="BD15">
            <v>0</v>
          </cell>
          <cell r="BE15" t="e">
            <v>#DIV/0!</v>
          </cell>
          <cell r="BF15" t="e">
            <v>#DIV/0!</v>
          </cell>
          <cell r="BL15">
            <v>0</v>
          </cell>
          <cell r="BN15">
            <v>0</v>
          </cell>
          <cell r="BP15">
            <v>0</v>
          </cell>
        </row>
        <row r="16">
          <cell r="C16" t="str">
            <v>VB00013</v>
          </cell>
          <cell r="D16" t="str">
            <v>NGUYỄN THỊ DIỆU LINH</v>
          </cell>
          <cell r="E16" t="str">
            <v>CHT</v>
          </cell>
          <cell r="F16" t="str">
            <v>Cao cấp</v>
          </cell>
          <cell r="G16">
            <v>43787</v>
          </cell>
          <cell r="H16">
            <v>43787</v>
          </cell>
          <cell r="I16">
            <v>6</v>
          </cell>
          <cell r="J16" t="str">
            <v>Chính thức</v>
          </cell>
          <cell r="K16">
            <v>26</v>
          </cell>
          <cell r="L16">
            <v>27</v>
          </cell>
          <cell r="M16">
            <v>0</v>
          </cell>
          <cell r="N16">
            <v>25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1</v>
          </cell>
          <cell r="T16">
            <v>27</v>
          </cell>
          <cell r="U16">
            <v>5860000</v>
          </cell>
          <cell r="V16">
            <v>700000</v>
          </cell>
          <cell r="W16">
            <v>1000000</v>
          </cell>
          <cell r="X16">
            <v>300000</v>
          </cell>
          <cell r="Y16">
            <v>400000</v>
          </cell>
          <cell r="Z16">
            <v>8260000</v>
          </cell>
          <cell r="AA16">
            <v>8577692.307692308</v>
          </cell>
          <cell r="AB16">
            <v>0</v>
          </cell>
          <cell r="AC16">
            <v>0</v>
          </cell>
          <cell r="AD16">
            <v>8577692.307692308</v>
          </cell>
          <cell r="AF16">
            <v>350000</v>
          </cell>
          <cell r="AH16">
            <v>2046000.0000000005</v>
          </cell>
          <cell r="AI16">
            <v>1056490.3846153845</v>
          </cell>
          <cell r="AJ16">
            <v>0</v>
          </cell>
          <cell r="AK16">
            <v>676153.84615384613</v>
          </cell>
          <cell r="AL16">
            <v>0</v>
          </cell>
          <cell r="AN16">
            <v>0</v>
          </cell>
          <cell r="AP16">
            <v>0</v>
          </cell>
          <cell r="AQ16">
            <v>12706337</v>
          </cell>
          <cell r="AR16">
            <v>12706337</v>
          </cell>
          <cell r="AS16">
            <v>615300</v>
          </cell>
          <cell r="AT16">
            <v>1259900</v>
          </cell>
          <cell r="AU16">
            <v>29300</v>
          </cell>
          <cell r="AV16">
            <v>117200</v>
          </cell>
          <cell r="AW16">
            <v>15500000</v>
          </cell>
          <cell r="AX16">
            <v>8873693</v>
          </cell>
          <cell r="AY16">
            <v>0</v>
          </cell>
          <cell r="AZ16">
            <v>0</v>
          </cell>
          <cell r="BC16">
            <v>644600</v>
          </cell>
          <cell r="BE16">
            <v>12061737</v>
          </cell>
          <cell r="BF16">
            <v>12061737</v>
          </cell>
          <cell r="BG16" t="str">
            <v>CK</v>
          </cell>
          <cell r="BH16">
            <v>4230197834</v>
          </cell>
          <cell r="BI16" t="str">
            <v>Ngân hàng TMCP Đầu tư và Phát triển  Việt Nam (BIDV)</v>
          </cell>
          <cell r="BL16">
            <v>25</v>
          </cell>
          <cell r="BM16" t="str">
            <v>Nữ</v>
          </cell>
          <cell r="BN16">
            <v>361110</v>
          </cell>
          <cell r="BP16">
            <v>361110</v>
          </cell>
          <cell r="BQ16">
            <v>-361110</v>
          </cell>
          <cell r="BR16">
            <v>4230197834</v>
          </cell>
        </row>
        <row r="17">
          <cell r="C17" t="str">
            <v>VB00154</v>
          </cell>
          <cell r="D17" t="str">
            <v>ĐỖ THÙY LINH</v>
          </cell>
          <cell r="E17" t="str">
            <v>NVBH</v>
          </cell>
          <cell r="F17" t="str">
            <v>Cao cấp</v>
          </cell>
          <cell r="G17">
            <v>44550</v>
          </cell>
          <cell r="H17">
            <v>44246</v>
          </cell>
          <cell r="I17">
            <v>4</v>
          </cell>
          <cell r="J17" t="str">
            <v>Chính thức</v>
          </cell>
          <cell r="K17">
            <v>26</v>
          </cell>
          <cell r="L17">
            <v>27</v>
          </cell>
          <cell r="M17">
            <v>0</v>
          </cell>
          <cell r="N17">
            <v>25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1</v>
          </cell>
          <cell r="T17">
            <v>27</v>
          </cell>
          <cell r="U17">
            <v>5310000</v>
          </cell>
          <cell r="V17">
            <v>700000</v>
          </cell>
          <cell r="W17">
            <v>0</v>
          </cell>
          <cell r="X17">
            <v>0</v>
          </cell>
          <cell r="Y17">
            <v>300000</v>
          </cell>
          <cell r="Z17">
            <v>6310000</v>
          </cell>
          <cell r="AA17">
            <v>6552692.307692308</v>
          </cell>
          <cell r="AB17">
            <v>0</v>
          </cell>
          <cell r="AC17">
            <v>0</v>
          </cell>
          <cell r="AD17">
            <v>6552692.307692308</v>
          </cell>
          <cell r="AF17">
            <v>350000</v>
          </cell>
          <cell r="AH17">
            <v>1596396.0000000002</v>
          </cell>
          <cell r="AI17">
            <v>957331.73076923063</v>
          </cell>
          <cell r="AJ17">
            <v>0</v>
          </cell>
          <cell r="AK17">
            <v>612692.30769230763</v>
          </cell>
          <cell r="AL17">
            <v>0</v>
          </cell>
          <cell r="AN17">
            <v>0</v>
          </cell>
          <cell r="AP17">
            <v>0</v>
          </cell>
          <cell r="AQ17">
            <v>10069112</v>
          </cell>
          <cell r="AR17">
            <v>10069112</v>
          </cell>
          <cell r="AS17">
            <v>557550</v>
          </cell>
          <cell r="AT17">
            <v>1141650</v>
          </cell>
          <cell r="AU17">
            <v>26550</v>
          </cell>
          <cell r="AV17">
            <v>106200</v>
          </cell>
          <cell r="AW17">
            <v>15500000</v>
          </cell>
          <cell r="AX17">
            <v>7499088</v>
          </cell>
          <cell r="AY17">
            <v>0</v>
          </cell>
          <cell r="AZ17">
            <v>0</v>
          </cell>
          <cell r="BC17">
            <v>584100</v>
          </cell>
          <cell r="BE17">
            <v>9485012</v>
          </cell>
          <cell r="BF17">
            <v>9485012</v>
          </cell>
          <cell r="BG17" t="str">
            <v>CK</v>
          </cell>
          <cell r="BH17" t="str">
            <v>4280137136</v>
          </cell>
          <cell r="BI17" t="str">
            <v xml:space="preserve">Ngân hàng TMCP Đầu tư và Phát triển  Việt Nam (BIDV) </v>
          </cell>
          <cell r="BL17">
            <v>25</v>
          </cell>
          <cell r="BM17" t="str">
            <v>Nữ</v>
          </cell>
          <cell r="BN17">
            <v>300000</v>
          </cell>
          <cell r="BP17">
            <v>300000</v>
          </cell>
          <cell r="BQ17">
            <v>-300000</v>
          </cell>
          <cell r="BR17" t="str">
            <v>4280137136</v>
          </cell>
        </row>
        <row r="18">
          <cell r="C18" t="str">
            <v>VB00280</v>
          </cell>
          <cell r="D18" t="str">
            <v>NGUYỄN ĐỨC GIANG</v>
          </cell>
          <cell r="E18" t="str">
            <v>NVBH</v>
          </cell>
          <cell r="F18" t="str">
            <v>Cao cấp</v>
          </cell>
          <cell r="G18">
            <v>44958</v>
          </cell>
          <cell r="H18">
            <v>45019</v>
          </cell>
          <cell r="I18">
            <v>3</v>
          </cell>
          <cell r="J18" t="str">
            <v>Chính thức</v>
          </cell>
          <cell r="K18">
            <v>26</v>
          </cell>
          <cell r="L18">
            <v>27</v>
          </cell>
          <cell r="M18">
            <v>0</v>
          </cell>
          <cell r="N18">
            <v>25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1</v>
          </cell>
          <cell r="T18">
            <v>27</v>
          </cell>
          <cell r="U18">
            <v>5310000</v>
          </cell>
          <cell r="V18">
            <v>700000</v>
          </cell>
          <cell r="X18" t="str">
            <v>-</v>
          </cell>
          <cell r="Y18">
            <v>300000</v>
          </cell>
          <cell r="Z18">
            <v>6310000</v>
          </cell>
          <cell r="AA18">
            <v>6552692.307692308</v>
          </cell>
          <cell r="AB18">
            <v>0</v>
          </cell>
          <cell r="AC18">
            <v>0</v>
          </cell>
          <cell r="AD18">
            <v>6552692.307692308</v>
          </cell>
          <cell r="AF18">
            <v>350000</v>
          </cell>
          <cell r="AH18">
            <v>1142820.0000000002</v>
          </cell>
          <cell r="AI18">
            <v>957331.73076923063</v>
          </cell>
          <cell r="AJ18">
            <v>0</v>
          </cell>
          <cell r="AK18">
            <v>612692.30769230763</v>
          </cell>
          <cell r="AL18">
            <v>0</v>
          </cell>
          <cell r="AN18">
            <v>0</v>
          </cell>
          <cell r="AP18">
            <v>0</v>
          </cell>
          <cell r="AQ18">
            <v>9615536</v>
          </cell>
          <cell r="AR18">
            <v>9615536</v>
          </cell>
          <cell r="AS18">
            <v>557550</v>
          </cell>
          <cell r="AT18">
            <v>1141650</v>
          </cell>
          <cell r="AU18">
            <v>26550</v>
          </cell>
          <cell r="AV18">
            <v>106200</v>
          </cell>
          <cell r="AW18">
            <v>15500000</v>
          </cell>
          <cell r="AX18">
            <v>7045512</v>
          </cell>
          <cell r="AY18">
            <v>0</v>
          </cell>
          <cell r="AZ18">
            <v>0</v>
          </cell>
          <cell r="BC18">
            <v>584100</v>
          </cell>
          <cell r="BE18">
            <v>9031436</v>
          </cell>
          <cell r="BF18">
            <v>9031436</v>
          </cell>
          <cell r="BG18" t="str">
            <v>CK</v>
          </cell>
          <cell r="BH18">
            <v>4280772111</v>
          </cell>
          <cell r="BI18" t="str">
            <v xml:space="preserve">Ngân hàng TMCP Đầu tư và Phát triển  Việt Nam (BIDV) </v>
          </cell>
          <cell r="BL18">
            <v>25</v>
          </cell>
          <cell r="BM18" t="str">
            <v>Nam</v>
          </cell>
          <cell r="BN18">
            <v>300000</v>
          </cell>
          <cell r="BP18">
            <v>300000</v>
          </cell>
          <cell r="BQ18">
            <v>-300000</v>
          </cell>
          <cell r="BR18">
            <v>4280772111</v>
          </cell>
        </row>
        <row r="19">
          <cell r="C19" t="str">
            <v>VB00429</v>
          </cell>
          <cell r="D19" t="str">
            <v>NGHIÊM THỊ THU HIỀN</v>
          </cell>
          <cell r="E19" t="str">
            <v>NVBH</v>
          </cell>
          <cell r="F19" t="str">
            <v>Trung cấp</v>
          </cell>
          <cell r="G19">
            <v>45488</v>
          </cell>
          <cell r="H19">
            <v>45519</v>
          </cell>
          <cell r="I19">
            <v>1</v>
          </cell>
          <cell r="J19" t="str">
            <v>Chính thức</v>
          </cell>
          <cell r="K19">
            <v>26</v>
          </cell>
          <cell r="L19">
            <v>27</v>
          </cell>
          <cell r="M19">
            <v>0</v>
          </cell>
          <cell r="N19">
            <v>25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1</v>
          </cell>
          <cell r="T19">
            <v>27</v>
          </cell>
          <cell r="U19">
            <v>5310000</v>
          </cell>
          <cell r="V19">
            <v>700000</v>
          </cell>
          <cell r="W19">
            <v>200000</v>
          </cell>
          <cell r="X19">
            <v>0</v>
          </cell>
          <cell r="Y19">
            <v>0</v>
          </cell>
          <cell r="Z19">
            <v>6210000</v>
          </cell>
          <cell r="AA19">
            <v>6448846.153846154</v>
          </cell>
          <cell r="AB19">
            <v>0</v>
          </cell>
          <cell r="AC19">
            <v>0</v>
          </cell>
          <cell r="AD19">
            <v>6448846.153846154</v>
          </cell>
          <cell r="AF19">
            <v>350000</v>
          </cell>
          <cell r="AH19">
            <v>1352784.0000000002</v>
          </cell>
          <cell r="AI19">
            <v>957331.73076923063</v>
          </cell>
          <cell r="AJ19">
            <v>0</v>
          </cell>
          <cell r="AK19">
            <v>612692.30769230763</v>
          </cell>
          <cell r="AL19">
            <v>0</v>
          </cell>
          <cell r="AN19">
            <v>0</v>
          </cell>
          <cell r="AP19">
            <v>0</v>
          </cell>
          <cell r="AQ19">
            <v>9721654</v>
          </cell>
          <cell r="AR19">
            <v>9721654</v>
          </cell>
          <cell r="AS19">
            <v>557550</v>
          </cell>
          <cell r="AT19">
            <v>1141650</v>
          </cell>
          <cell r="AU19">
            <v>26550</v>
          </cell>
          <cell r="AV19">
            <v>106200</v>
          </cell>
          <cell r="AW19">
            <v>15500000</v>
          </cell>
          <cell r="AX19">
            <v>7251630</v>
          </cell>
          <cell r="AY19">
            <v>0</v>
          </cell>
          <cell r="AZ19">
            <v>0</v>
          </cell>
          <cell r="BC19">
            <v>584100</v>
          </cell>
          <cell r="BE19">
            <v>9137554</v>
          </cell>
          <cell r="BF19">
            <v>9137554</v>
          </cell>
          <cell r="BG19" t="str">
            <v>CK</v>
          </cell>
          <cell r="BH19">
            <v>8833233154</v>
          </cell>
          <cell r="BI19" t="str">
            <v>BIDV - CN Hùng Vương</v>
          </cell>
          <cell r="BL19">
            <v>25</v>
          </cell>
          <cell r="BM19" t="str">
            <v>Nữ</v>
          </cell>
          <cell r="BN19">
            <v>300000</v>
          </cell>
          <cell r="BP19">
            <v>300000</v>
          </cell>
          <cell r="BQ19">
            <v>-300000</v>
          </cell>
          <cell r="BR19">
            <v>8833233154</v>
          </cell>
        </row>
        <row r="20">
          <cell r="K20">
            <v>104</v>
          </cell>
          <cell r="L20">
            <v>108</v>
          </cell>
          <cell r="M20">
            <v>0</v>
          </cell>
          <cell r="N20">
            <v>100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4</v>
          </cell>
          <cell r="T20">
            <v>108</v>
          </cell>
          <cell r="U20">
            <v>21790000</v>
          </cell>
          <cell r="V20">
            <v>2800000</v>
          </cell>
          <cell r="W20">
            <v>1200000</v>
          </cell>
          <cell r="X20">
            <v>300000</v>
          </cell>
          <cell r="Y20">
            <v>1000000</v>
          </cell>
          <cell r="Z20">
            <v>27090000</v>
          </cell>
          <cell r="AA20">
            <v>28131923.07692308</v>
          </cell>
          <cell r="AB20">
            <v>0</v>
          </cell>
          <cell r="AC20">
            <v>0</v>
          </cell>
          <cell r="AD20">
            <v>28131923.07692308</v>
          </cell>
          <cell r="AE20">
            <v>0</v>
          </cell>
          <cell r="AF20">
            <v>1400000</v>
          </cell>
          <cell r="AG20">
            <v>0</v>
          </cell>
          <cell r="AH20">
            <v>6138000.0000000009</v>
          </cell>
          <cell r="AI20">
            <v>3928485.5769230761</v>
          </cell>
          <cell r="AJ20">
            <v>0</v>
          </cell>
          <cell r="AK20">
            <v>2514230.769230769</v>
          </cell>
          <cell r="AL20">
            <v>0</v>
          </cell>
          <cell r="AM20">
            <v>0</v>
          </cell>
          <cell r="AN20">
            <v>0</v>
          </cell>
          <cell r="AP20">
            <v>0</v>
          </cell>
          <cell r="AQ20">
            <v>42112639</v>
          </cell>
          <cell r="AR20">
            <v>42112639</v>
          </cell>
          <cell r="AS20">
            <v>2287950</v>
          </cell>
          <cell r="AT20">
            <v>4684850</v>
          </cell>
          <cell r="AU20">
            <v>108950</v>
          </cell>
          <cell r="AV20">
            <v>435800</v>
          </cell>
          <cell r="AW20">
            <v>62000000</v>
          </cell>
          <cell r="AX20">
            <v>30669923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2396900</v>
          </cell>
          <cell r="BD20">
            <v>0</v>
          </cell>
          <cell r="BE20">
            <v>39715739</v>
          </cell>
          <cell r="BF20">
            <v>39715739</v>
          </cell>
          <cell r="BL20">
            <v>100</v>
          </cell>
          <cell r="BN20">
            <v>0</v>
          </cell>
          <cell r="BP20">
            <v>0</v>
          </cell>
        </row>
        <row r="21">
          <cell r="C21" t="str">
            <v>VB00032</v>
          </cell>
          <cell r="D21" t="str">
            <v>NGUYỄN HOÀI PHƯƠNG</v>
          </cell>
          <cell r="E21" t="str">
            <v>TL CHT</v>
          </cell>
          <cell r="F21" t="str">
            <v>Cao cấp</v>
          </cell>
          <cell r="G21">
            <v>44067</v>
          </cell>
          <cell r="H21">
            <v>44126</v>
          </cell>
          <cell r="I21">
            <v>5</v>
          </cell>
          <cell r="J21" t="str">
            <v>Chính thức</v>
          </cell>
          <cell r="K21">
            <v>26</v>
          </cell>
          <cell r="L21">
            <v>27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1</v>
          </cell>
          <cell r="T21">
            <v>27</v>
          </cell>
          <cell r="U21">
            <v>5310000</v>
          </cell>
          <cell r="V21">
            <v>700000</v>
          </cell>
          <cell r="W21">
            <v>600000</v>
          </cell>
          <cell r="X21">
            <v>0</v>
          </cell>
          <cell r="Y21">
            <v>400000</v>
          </cell>
          <cell r="Z21">
            <v>7010000</v>
          </cell>
          <cell r="AA21">
            <v>7279615.384615385</v>
          </cell>
          <cell r="AB21">
            <v>0</v>
          </cell>
          <cell r="AC21">
            <v>0</v>
          </cell>
          <cell r="AD21">
            <v>7279615.384615385</v>
          </cell>
          <cell r="AF21">
            <v>350000</v>
          </cell>
          <cell r="AH21">
            <v>883479.44680851046</v>
          </cell>
          <cell r="AI21">
            <v>0</v>
          </cell>
          <cell r="AJ21">
            <v>0</v>
          </cell>
          <cell r="AK21">
            <v>612692.30769230763</v>
          </cell>
          <cell r="AL21">
            <v>0</v>
          </cell>
          <cell r="AN21">
            <v>0</v>
          </cell>
          <cell r="AP21">
            <v>0</v>
          </cell>
          <cell r="AQ21">
            <v>9125787</v>
          </cell>
          <cell r="AR21">
            <v>9125787</v>
          </cell>
          <cell r="AS21">
            <v>557550</v>
          </cell>
          <cell r="AT21">
            <v>1141650</v>
          </cell>
          <cell r="AU21">
            <v>26550</v>
          </cell>
          <cell r="AV21">
            <v>106200</v>
          </cell>
          <cell r="AW21">
            <v>15500000</v>
          </cell>
          <cell r="AX21">
            <v>6813095</v>
          </cell>
          <cell r="AY21">
            <v>0</v>
          </cell>
          <cell r="AZ21">
            <v>0</v>
          </cell>
          <cell r="BC21">
            <v>584100</v>
          </cell>
          <cell r="BE21">
            <v>8541687</v>
          </cell>
          <cell r="BF21">
            <v>8541687</v>
          </cell>
          <cell r="BG21" t="str">
            <v>CK</v>
          </cell>
          <cell r="BH21">
            <v>4411173802</v>
          </cell>
          <cell r="BI21" t="str">
            <v>Ngân hàng TMCP Đầu tư và Phát triển  Việt Nam (BIDV) - CN Quảng Ninh</v>
          </cell>
          <cell r="BL21">
            <v>0</v>
          </cell>
          <cell r="BM21" t="str">
            <v>Nữ</v>
          </cell>
          <cell r="BN21">
            <v>0</v>
          </cell>
          <cell r="BP21">
            <v>0</v>
          </cell>
          <cell r="BR21">
            <v>4411173802</v>
          </cell>
        </row>
        <row r="22">
          <cell r="C22" t="str">
            <v>VB00021</v>
          </cell>
          <cell r="D22" t="str">
            <v>LÊ THỊ LIÊN</v>
          </cell>
          <cell r="E22" t="str">
            <v>NVBH</v>
          </cell>
          <cell r="F22" t="str">
            <v>Cao cấp</v>
          </cell>
          <cell r="G22">
            <v>43958</v>
          </cell>
          <cell r="H22">
            <v>44017</v>
          </cell>
          <cell r="I22">
            <v>6</v>
          </cell>
          <cell r="J22" t="str">
            <v>Chính thức</v>
          </cell>
          <cell r="K22">
            <v>26</v>
          </cell>
          <cell r="L22">
            <v>27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1</v>
          </cell>
          <cell r="T22">
            <v>27</v>
          </cell>
          <cell r="U22">
            <v>5310000</v>
          </cell>
          <cell r="V22">
            <v>700000</v>
          </cell>
          <cell r="W22">
            <v>0</v>
          </cell>
          <cell r="X22">
            <v>0</v>
          </cell>
          <cell r="Y22">
            <v>300000</v>
          </cell>
          <cell r="Z22">
            <v>6310000</v>
          </cell>
          <cell r="AA22">
            <v>6552692.307692308</v>
          </cell>
          <cell r="AB22">
            <v>0</v>
          </cell>
          <cell r="AC22">
            <v>0</v>
          </cell>
          <cell r="AD22">
            <v>6552692.307692308</v>
          </cell>
          <cell r="AF22">
            <v>350000</v>
          </cell>
          <cell r="AH22">
            <v>786771.57446808496</v>
          </cell>
          <cell r="AI22">
            <v>0</v>
          </cell>
          <cell r="AJ22">
            <v>0</v>
          </cell>
          <cell r="AK22">
            <v>612692.30769230763</v>
          </cell>
          <cell r="AL22">
            <v>0</v>
          </cell>
          <cell r="AN22">
            <v>0</v>
          </cell>
          <cell r="AP22">
            <v>0</v>
          </cell>
          <cell r="AQ22">
            <v>8302156</v>
          </cell>
          <cell r="AR22">
            <v>8302156</v>
          </cell>
          <cell r="AS22">
            <v>557550</v>
          </cell>
          <cell r="AT22">
            <v>1141650</v>
          </cell>
          <cell r="AU22">
            <v>26550</v>
          </cell>
          <cell r="AV22">
            <v>106200</v>
          </cell>
          <cell r="AW22">
            <v>15500000</v>
          </cell>
          <cell r="AX22">
            <v>6689464</v>
          </cell>
          <cell r="AY22">
            <v>0</v>
          </cell>
          <cell r="AZ22">
            <v>0</v>
          </cell>
          <cell r="BC22">
            <v>584100</v>
          </cell>
          <cell r="BE22">
            <v>7718056</v>
          </cell>
          <cell r="BF22">
            <v>7718056</v>
          </cell>
          <cell r="BG22" t="str">
            <v>CK</v>
          </cell>
          <cell r="BH22" t="str">
            <v>4480368507</v>
          </cell>
          <cell r="BI22" t="str">
            <v>Ngân hàng TMCP Đầu tư và Phát triển  Việt Nam (BIDV) - CN Lạch Tray Hải Phòng</v>
          </cell>
          <cell r="BL22">
            <v>0</v>
          </cell>
          <cell r="BM22" t="str">
            <v>Nữ</v>
          </cell>
          <cell r="BN22">
            <v>0</v>
          </cell>
          <cell r="BP22">
            <v>50000</v>
          </cell>
          <cell r="BQ22">
            <v>-50000</v>
          </cell>
          <cell r="BR22" t="str">
            <v>4480368507</v>
          </cell>
        </row>
        <row r="23">
          <cell r="C23" t="str">
            <v>VB00173</v>
          </cell>
          <cell r="D23" t="str">
            <v>NGUYỄN THỊ NGỌC ANH</v>
          </cell>
          <cell r="E23" t="str">
            <v>NVBH</v>
          </cell>
          <cell r="F23" t="str">
            <v>Trung cấp</v>
          </cell>
          <cell r="G23">
            <v>44634</v>
          </cell>
          <cell r="H23">
            <v>44694</v>
          </cell>
          <cell r="I23">
            <v>4</v>
          </cell>
          <cell r="J23" t="str">
            <v>Chính thức</v>
          </cell>
          <cell r="K23">
            <v>26</v>
          </cell>
          <cell r="L23">
            <v>27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1</v>
          </cell>
          <cell r="T23">
            <v>27</v>
          </cell>
          <cell r="U23">
            <v>5310000</v>
          </cell>
          <cell r="V23">
            <v>700000</v>
          </cell>
          <cell r="W23">
            <v>200000</v>
          </cell>
          <cell r="X23">
            <v>0</v>
          </cell>
          <cell r="Y23">
            <v>0</v>
          </cell>
          <cell r="Z23">
            <v>6210000</v>
          </cell>
          <cell r="AA23">
            <v>6448846.153846154</v>
          </cell>
          <cell r="AB23">
            <v>0</v>
          </cell>
          <cell r="AC23">
            <v>0</v>
          </cell>
          <cell r="AD23">
            <v>6448846.153846154</v>
          </cell>
          <cell r="AF23">
            <v>350000</v>
          </cell>
          <cell r="AH23">
            <v>756796.59574468073</v>
          </cell>
          <cell r="AI23">
            <v>0</v>
          </cell>
          <cell r="AJ23">
            <v>0</v>
          </cell>
          <cell r="AK23">
            <v>612692.30769230763</v>
          </cell>
          <cell r="AL23">
            <v>0</v>
          </cell>
          <cell r="AN23">
            <v>0</v>
          </cell>
          <cell r="AP23">
            <v>0</v>
          </cell>
          <cell r="AQ23">
            <v>8168335</v>
          </cell>
          <cell r="AR23">
            <v>8168335</v>
          </cell>
          <cell r="AS23">
            <v>557550</v>
          </cell>
          <cell r="AT23">
            <v>1141650</v>
          </cell>
          <cell r="AU23">
            <v>26550</v>
          </cell>
          <cell r="AV23">
            <v>106200</v>
          </cell>
          <cell r="AW23">
            <v>15500000</v>
          </cell>
          <cell r="AX23">
            <v>6655643</v>
          </cell>
          <cell r="AY23">
            <v>0</v>
          </cell>
          <cell r="AZ23">
            <v>0</v>
          </cell>
          <cell r="BC23">
            <v>584100</v>
          </cell>
          <cell r="BE23">
            <v>7584235</v>
          </cell>
          <cell r="BF23">
            <v>7584235</v>
          </cell>
          <cell r="BG23" t="str">
            <v>CK</v>
          </cell>
          <cell r="BH23" t="str">
            <v>4400993499</v>
          </cell>
          <cell r="BI23" t="str">
            <v>Ngân hàng TMCP Đầu tư và Phát triển  Việt Nam (BIDV)</v>
          </cell>
          <cell r="BL23">
            <v>0</v>
          </cell>
          <cell r="BM23" t="str">
            <v>Nữ</v>
          </cell>
          <cell r="BN23">
            <v>0</v>
          </cell>
          <cell r="BP23">
            <v>0</v>
          </cell>
          <cell r="BR23" t="str">
            <v>4400993499</v>
          </cell>
        </row>
        <row r="24">
          <cell r="C24" t="str">
            <v>VB00060</v>
          </cell>
          <cell r="D24" t="str">
            <v>NGÔ THỊ OANH</v>
          </cell>
          <cell r="E24" t="str">
            <v>NVBH</v>
          </cell>
          <cell r="F24" t="str">
            <v>Cao cấp</v>
          </cell>
          <cell r="G24">
            <v>44252</v>
          </cell>
          <cell r="H24">
            <v>44313</v>
          </cell>
          <cell r="I24">
            <v>5</v>
          </cell>
          <cell r="J24" t="str">
            <v>Chính thức</v>
          </cell>
          <cell r="K24">
            <v>26</v>
          </cell>
          <cell r="L24">
            <v>27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1</v>
          </cell>
          <cell r="T24">
            <v>27</v>
          </cell>
          <cell r="U24">
            <v>5310000</v>
          </cell>
          <cell r="V24">
            <v>700000</v>
          </cell>
          <cell r="W24">
            <v>0</v>
          </cell>
          <cell r="X24">
            <v>0</v>
          </cell>
          <cell r="Y24">
            <v>300000</v>
          </cell>
          <cell r="Z24">
            <v>6310000</v>
          </cell>
          <cell r="AA24">
            <v>6552692.307692308</v>
          </cell>
          <cell r="AB24">
            <v>0</v>
          </cell>
          <cell r="AC24">
            <v>0</v>
          </cell>
          <cell r="AD24">
            <v>6552692.307692308</v>
          </cell>
          <cell r="AF24">
            <v>350000</v>
          </cell>
          <cell r="AH24">
            <v>767070.38297872338</v>
          </cell>
          <cell r="AI24">
            <v>0</v>
          </cell>
          <cell r="AJ24">
            <v>0</v>
          </cell>
          <cell r="AK24">
            <v>612692.30769230763</v>
          </cell>
          <cell r="AL24">
            <v>0</v>
          </cell>
          <cell r="AN24">
            <v>0</v>
          </cell>
          <cell r="AP24">
            <v>0</v>
          </cell>
          <cell r="AQ24">
            <v>8282455</v>
          </cell>
          <cell r="AR24">
            <v>8282455</v>
          </cell>
          <cell r="AS24">
            <v>557550</v>
          </cell>
          <cell r="AT24">
            <v>1141650</v>
          </cell>
          <cell r="AU24">
            <v>26550</v>
          </cell>
          <cell r="AV24">
            <v>106200</v>
          </cell>
          <cell r="AW24">
            <v>15500000</v>
          </cell>
          <cell r="AX24">
            <v>6669763</v>
          </cell>
          <cell r="AY24">
            <v>0</v>
          </cell>
          <cell r="AZ24">
            <v>0</v>
          </cell>
          <cell r="BC24">
            <v>584100</v>
          </cell>
          <cell r="BE24">
            <v>7698355</v>
          </cell>
          <cell r="BF24">
            <v>7698355</v>
          </cell>
          <cell r="BG24" t="str">
            <v>CK</v>
          </cell>
          <cell r="BH24">
            <v>4400784985</v>
          </cell>
          <cell r="BI24" t="str">
            <v>Ngân hàng TMCP Đầu tư và Phát triển  Việt Nam (BIDV)</v>
          </cell>
          <cell r="BL24">
            <v>0</v>
          </cell>
          <cell r="BM24" t="str">
            <v>Nữ</v>
          </cell>
          <cell r="BN24">
            <v>0</v>
          </cell>
          <cell r="BP24">
            <v>50000</v>
          </cell>
          <cell r="BQ24">
            <v>-50000</v>
          </cell>
          <cell r="BR24">
            <v>4400784985</v>
          </cell>
        </row>
        <row r="25">
          <cell r="K25">
            <v>104</v>
          </cell>
          <cell r="L25">
            <v>108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4</v>
          </cell>
          <cell r="T25">
            <v>108</v>
          </cell>
          <cell r="U25">
            <v>21240000</v>
          </cell>
          <cell r="V25">
            <v>2800000</v>
          </cell>
          <cell r="W25">
            <v>800000</v>
          </cell>
          <cell r="X25">
            <v>0</v>
          </cell>
          <cell r="Y25">
            <v>1000000</v>
          </cell>
          <cell r="Z25">
            <v>25840000</v>
          </cell>
          <cell r="AA25">
            <v>26833846.153846156</v>
          </cell>
          <cell r="AB25">
            <v>0</v>
          </cell>
          <cell r="AC25">
            <v>0</v>
          </cell>
          <cell r="AD25">
            <v>26833846.153846156</v>
          </cell>
          <cell r="AE25">
            <v>0</v>
          </cell>
          <cell r="AF25">
            <v>1400000</v>
          </cell>
          <cell r="AG25">
            <v>0</v>
          </cell>
          <cell r="AH25">
            <v>3194117.9999999995</v>
          </cell>
          <cell r="AI25">
            <v>0</v>
          </cell>
          <cell r="AJ25">
            <v>0</v>
          </cell>
          <cell r="AK25">
            <v>2450769.2307692305</v>
          </cell>
          <cell r="AL25">
            <v>0</v>
          </cell>
          <cell r="AM25">
            <v>0</v>
          </cell>
          <cell r="AN25">
            <v>0</v>
          </cell>
          <cell r="AP25">
            <v>0</v>
          </cell>
          <cell r="AQ25">
            <v>33878733</v>
          </cell>
          <cell r="AR25">
            <v>33878733</v>
          </cell>
          <cell r="AS25">
            <v>2230200</v>
          </cell>
          <cell r="AT25">
            <v>4566600</v>
          </cell>
          <cell r="AU25">
            <v>106200</v>
          </cell>
          <cell r="AV25">
            <v>424800</v>
          </cell>
          <cell r="AW25">
            <v>62000000</v>
          </cell>
          <cell r="AX25">
            <v>26827965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2336400</v>
          </cell>
          <cell r="BD25">
            <v>0</v>
          </cell>
          <cell r="BE25">
            <v>31542333</v>
          </cell>
          <cell r="BF25">
            <v>31542333</v>
          </cell>
          <cell r="BL25">
            <v>0</v>
          </cell>
          <cell r="BN25">
            <v>0</v>
          </cell>
          <cell r="BP25">
            <v>0</v>
          </cell>
        </row>
        <row r="26">
          <cell r="C26" t="str">
            <v>VB00192</v>
          </cell>
          <cell r="D26" t="str">
            <v>PHAN THỊ THÙY LINH</v>
          </cell>
          <cell r="E26" t="str">
            <v>CHT</v>
          </cell>
          <cell r="F26" t="str">
            <v>Trung cấp</v>
          </cell>
          <cell r="G26">
            <v>44702</v>
          </cell>
          <cell r="H26">
            <v>44762</v>
          </cell>
          <cell r="I26">
            <v>4</v>
          </cell>
          <cell r="J26" t="str">
            <v>Chính thức</v>
          </cell>
          <cell r="K26">
            <v>26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5860000</v>
          </cell>
          <cell r="V26">
            <v>700000</v>
          </cell>
          <cell r="W26">
            <v>1500000</v>
          </cell>
          <cell r="X26">
            <v>1100000</v>
          </cell>
          <cell r="Y26">
            <v>400000</v>
          </cell>
          <cell r="Z26">
            <v>9560000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F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</row>
        <row r="27">
          <cell r="C27" t="str">
            <v>VB00523</v>
          </cell>
          <cell r="D27" t="str">
            <v>NGUYỄN KHÁNH LINH</v>
          </cell>
          <cell r="E27" t="str">
            <v>NVBH</v>
          </cell>
          <cell r="F27" t="str">
            <v>Trung cấp</v>
          </cell>
          <cell r="G27">
            <v>45703</v>
          </cell>
          <cell r="H27">
            <v>45764</v>
          </cell>
          <cell r="I27">
            <v>1</v>
          </cell>
          <cell r="J27" t="str">
            <v>Chính thức</v>
          </cell>
          <cell r="K27">
            <v>26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5310000</v>
          </cell>
          <cell r="V27">
            <v>700000</v>
          </cell>
          <cell r="W27">
            <v>650000</v>
          </cell>
          <cell r="X27">
            <v>500000</v>
          </cell>
          <cell r="Y27">
            <v>400000</v>
          </cell>
          <cell r="Z27">
            <v>7560000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F27">
            <v>0</v>
          </cell>
          <cell r="AH27" t="e">
            <v>#DIV/0!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</row>
        <row r="28">
          <cell r="C28" t="str">
            <v>VB00369</v>
          </cell>
          <cell r="D28" t="str">
            <v>TRẦN THỊ YẾN</v>
          </cell>
          <cell r="E28" t="str">
            <v>NVBH</v>
          </cell>
          <cell r="F28" t="str">
            <v>Cao cấp</v>
          </cell>
          <cell r="G28">
            <v>45282</v>
          </cell>
          <cell r="H28">
            <v>45343</v>
          </cell>
          <cell r="I28">
            <v>2</v>
          </cell>
          <cell r="J28" t="str">
            <v>Chính thức</v>
          </cell>
          <cell r="K28">
            <v>26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5310000</v>
          </cell>
          <cell r="V28">
            <v>700000</v>
          </cell>
          <cell r="W28">
            <v>1000000</v>
          </cell>
          <cell r="X28">
            <v>750000</v>
          </cell>
          <cell r="Y28">
            <v>400000</v>
          </cell>
          <cell r="Z28">
            <v>8160000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F28">
            <v>0</v>
          </cell>
          <cell r="AH28" t="e">
            <v>#DIV/0!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</row>
        <row r="29">
          <cell r="C29" t="str">
            <v>VB00682</v>
          </cell>
          <cell r="D29" t="str">
            <v>HOÀNG QUANG HUY</v>
          </cell>
          <cell r="E29" t="str">
            <v>NVBH</v>
          </cell>
          <cell r="F29" t="str">
            <v>Sơ cấp</v>
          </cell>
          <cell r="G29">
            <v>46114</v>
          </cell>
          <cell r="H29">
            <v>46175</v>
          </cell>
          <cell r="I29">
            <v>0</v>
          </cell>
          <cell r="J29" t="str">
            <v>Thử việc</v>
          </cell>
          <cell r="K29">
            <v>26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5310000</v>
          </cell>
          <cell r="V29">
            <v>700000</v>
          </cell>
          <cell r="W29">
            <v>350000</v>
          </cell>
          <cell r="X29">
            <v>500000</v>
          </cell>
          <cell r="Z29">
            <v>6860000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F29">
            <v>0</v>
          </cell>
          <cell r="AH29" t="e">
            <v>#DIV/0!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</row>
        <row r="30">
          <cell r="C30" t="str">
            <v>VB00690</v>
          </cell>
          <cell r="D30" t="str">
            <v>ĐÈO THỊ MAI ANH</v>
          </cell>
          <cell r="E30" t="str">
            <v>NVBH</v>
          </cell>
          <cell r="F30" t="str">
            <v>Sơ cấp</v>
          </cell>
          <cell r="G30">
            <v>46143</v>
          </cell>
          <cell r="H30">
            <v>46176</v>
          </cell>
          <cell r="I30">
            <v>0</v>
          </cell>
          <cell r="J30" t="str">
            <v>Thử việc</v>
          </cell>
          <cell r="K30">
            <v>26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5310000</v>
          </cell>
          <cell r="V30">
            <v>700000</v>
          </cell>
          <cell r="W30">
            <v>350000</v>
          </cell>
          <cell r="X30">
            <v>500000</v>
          </cell>
          <cell r="Z30">
            <v>6860000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F30">
            <v>0</v>
          </cell>
          <cell r="AH30" t="e">
            <v>#DIV/0!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</row>
        <row r="31">
          <cell r="C31" t="str">
            <v>VB00699</v>
          </cell>
          <cell r="D31" t="str">
            <v>NGUYỄN HUY HOÀNG</v>
          </cell>
          <cell r="E31" t="str">
            <v>NVBH</v>
          </cell>
          <cell r="F31" t="str">
            <v>Sơ cấp</v>
          </cell>
          <cell r="G31">
            <v>46172</v>
          </cell>
          <cell r="H31">
            <v>46233</v>
          </cell>
          <cell r="I31">
            <v>0</v>
          </cell>
          <cell r="J31" t="str">
            <v>Thử việc</v>
          </cell>
          <cell r="K31">
            <v>26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5310000</v>
          </cell>
          <cell r="V31">
            <v>700000</v>
          </cell>
          <cell r="W31">
            <v>350000</v>
          </cell>
          <cell r="X31">
            <v>500000</v>
          </cell>
          <cell r="Z31">
            <v>6860000</v>
          </cell>
          <cell r="AA31">
            <v>0</v>
          </cell>
          <cell r="AB31">
            <v>0</v>
          </cell>
          <cell r="AD31">
            <v>0</v>
          </cell>
          <cell r="AF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</row>
        <row r="32">
          <cell r="C32" t="str">
            <v>VB00704</v>
          </cell>
          <cell r="D32" t="str">
            <v>NGUYỄN THỊ ÁNH NGUYỆT</v>
          </cell>
          <cell r="E32" t="str">
            <v>NVBH</v>
          </cell>
          <cell r="F32" t="str">
            <v>Sơ cấp</v>
          </cell>
          <cell r="G32">
            <v>46175</v>
          </cell>
          <cell r="H32">
            <v>46236</v>
          </cell>
          <cell r="I32">
            <v>0</v>
          </cell>
          <cell r="J32" t="str">
            <v>Thử việc</v>
          </cell>
          <cell r="K32">
            <v>26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5310000</v>
          </cell>
          <cell r="V32">
            <v>700000</v>
          </cell>
          <cell r="W32">
            <v>350000</v>
          </cell>
          <cell r="X32">
            <v>500000</v>
          </cell>
          <cell r="Z32">
            <v>6860000</v>
          </cell>
          <cell r="AA32">
            <v>0</v>
          </cell>
          <cell r="AB32">
            <v>0</v>
          </cell>
          <cell r="AD32">
            <v>0</v>
          </cell>
          <cell r="AF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</row>
        <row r="33">
          <cell r="K33">
            <v>182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37720000</v>
          </cell>
          <cell r="V33">
            <v>4900000</v>
          </cell>
          <cell r="W33">
            <v>4550000</v>
          </cell>
          <cell r="X33">
            <v>4350000</v>
          </cell>
          <cell r="Y33">
            <v>1200000</v>
          </cell>
          <cell r="Z33">
            <v>52720000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 t="e">
            <v>#DIV/0!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</row>
        <row r="34">
          <cell r="C34" t="str">
            <v>VB00484</v>
          </cell>
          <cell r="D34" t="str">
            <v xml:space="preserve">LẠI THU TRANG </v>
          </cell>
          <cell r="E34" t="str">
            <v>CHT</v>
          </cell>
          <cell r="F34" t="str">
            <v>Trung cấp</v>
          </cell>
          <cell r="G34">
            <v>45612</v>
          </cell>
          <cell r="H34">
            <v>45673</v>
          </cell>
          <cell r="I34">
            <v>1</v>
          </cell>
          <cell r="J34" t="str">
            <v>Chính thức</v>
          </cell>
          <cell r="K34">
            <v>26</v>
          </cell>
          <cell r="L34">
            <v>27</v>
          </cell>
          <cell r="M34">
            <v>0</v>
          </cell>
          <cell r="N34">
            <v>7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1</v>
          </cell>
          <cell r="T34">
            <v>27</v>
          </cell>
          <cell r="U34">
            <v>5860000</v>
          </cell>
          <cell r="V34">
            <v>700000</v>
          </cell>
          <cell r="W34">
            <v>1000000</v>
          </cell>
          <cell r="X34">
            <v>600000</v>
          </cell>
          <cell r="Y34">
            <v>400000</v>
          </cell>
          <cell r="Z34">
            <v>8560000</v>
          </cell>
          <cell r="AA34">
            <v>8889230.7692307699</v>
          </cell>
          <cell r="AB34">
            <v>0</v>
          </cell>
          <cell r="AC34">
            <v>0</v>
          </cell>
          <cell r="AD34">
            <v>8889230.7692307699</v>
          </cell>
          <cell r="AF34">
            <v>350000</v>
          </cell>
          <cell r="AH34">
            <v>5261356.8292682935</v>
          </cell>
          <cell r="AI34">
            <v>295817.30769230763</v>
          </cell>
          <cell r="AJ34">
            <v>0</v>
          </cell>
          <cell r="AK34">
            <v>676153.84615384613</v>
          </cell>
          <cell r="AL34">
            <v>0</v>
          </cell>
        </row>
        <row r="35">
          <cell r="C35" t="str">
            <v>VB00360</v>
          </cell>
          <cell r="D35" t="str">
            <v>PHÙNG THANH HOÀI</v>
          </cell>
          <cell r="E35" t="str">
            <v>NVBH</v>
          </cell>
          <cell r="F35" t="str">
            <v>Sơ cấp</v>
          </cell>
          <cell r="G35">
            <v>45258</v>
          </cell>
          <cell r="H35">
            <v>45319</v>
          </cell>
          <cell r="I35">
            <v>2</v>
          </cell>
          <cell r="J35" t="str">
            <v>Chính thức</v>
          </cell>
          <cell r="K35">
            <v>26</v>
          </cell>
          <cell r="L35">
            <v>27</v>
          </cell>
          <cell r="M35">
            <v>0</v>
          </cell>
          <cell r="N35">
            <v>6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1</v>
          </cell>
          <cell r="T35">
            <v>27</v>
          </cell>
          <cell r="U35">
            <v>5310000</v>
          </cell>
          <cell r="V35">
            <v>700000</v>
          </cell>
          <cell r="W35">
            <v>170000</v>
          </cell>
          <cell r="X35">
            <v>0</v>
          </cell>
          <cell r="Y35">
            <v>0</v>
          </cell>
          <cell r="Z35">
            <v>6180000</v>
          </cell>
          <cell r="AA35">
            <v>6417692.307692308</v>
          </cell>
          <cell r="AB35">
            <v>0</v>
          </cell>
          <cell r="AC35">
            <v>0</v>
          </cell>
          <cell r="AD35">
            <v>6417692.307692308</v>
          </cell>
          <cell r="AF35">
            <v>350000</v>
          </cell>
          <cell r="AH35">
            <v>2160338.3765853657</v>
          </cell>
          <cell r="AI35">
            <v>229759.61538461538</v>
          </cell>
          <cell r="AJ35">
            <v>0</v>
          </cell>
          <cell r="AK35">
            <v>612692.30769230763</v>
          </cell>
          <cell r="AL35">
            <v>0</v>
          </cell>
        </row>
        <row r="36">
          <cell r="C36" t="str">
            <v>VB00440</v>
          </cell>
          <cell r="D36" t="str">
            <v>BÙI THỊ SỨ</v>
          </cell>
          <cell r="E36" t="str">
            <v>NVBH</v>
          </cell>
          <cell r="F36" t="str">
            <v>Trung cấp</v>
          </cell>
          <cell r="G36">
            <v>45512</v>
          </cell>
          <cell r="H36">
            <v>45573</v>
          </cell>
          <cell r="I36">
            <v>1</v>
          </cell>
          <cell r="J36" t="str">
            <v>Chính thức</v>
          </cell>
          <cell r="K36">
            <v>26</v>
          </cell>
          <cell r="L36">
            <v>27</v>
          </cell>
          <cell r="M36">
            <v>0</v>
          </cell>
          <cell r="N36">
            <v>24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1</v>
          </cell>
          <cell r="T36">
            <v>27</v>
          </cell>
          <cell r="U36">
            <v>5310000</v>
          </cell>
          <cell r="V36">
            <v>700000</v>
          </cell>
          <cell r="W36">
            <v>150000</v>
          </cell>
          <cell r="X36">
            <v>400000</v>
          </cell>
          <cell r="Y36">
            <v>0</v>
          </cell>
          <cell r="Z36">
            <v>6560000</v>
          </cell>
          <cell r="AA36">
            <v>6812307.692307692</v>
          </cell>
          <cell r="AB36">
            <v>0</v>
          </cell>
          <cell r="AC36">
            <v>0</v>
          </cell>
          <cell r="AD36">
            <v>6812307.692307692</v>
          </cell>
          <cell r="AF36">
            <v>350000</v>
          </cell>
          <cell r="AH36">
            <v>3324428.8429268287</v>
          </cell>
          <cell r="AI36">
            <v>919038.4615384615</v>
          </cell>
          <cell r="AJ36">
            <v>0</v>
          </cell>
          <cell r="AK36">
            <v>612692.30769230763</v>
          </cell>
          <cell r="AL36">
            <v>0</v>
          </cell>
        </row>
        <row r="37">
          <cell r="C37" t="str">
            <v>VB00594</v>
          </cell>
          <cell r="D37" t="str">
            <v>LÊ THU TRANG</v>
          </cell>
          <cell r="E37" t="str">
            <v>NVBH</v>
          </cell>
          <cell r="F37" t="str">
            <v>Sơ cấp</v>
          </cell>
          <cell r="G37">
            <v>45857</v>
          </cell>
          <cell r="H37">
            <v>45918</v>
          </cell>
          <cell r="I37">
            <v>0</v>
          </cell>
          <cell r="J37" t="str">
            <v>Chính thức</v>
          </cell>
          <cell r="K37">
            <v>26</v>
          </cell>
          <cell r="L37">
            <v>27</v>
          </cell>
          <cell r="M37">
            <v>0</v>
          </cell>
          <cell r="N37">
            <v>23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1</v>
          </cell>
          <cell r="T37">
            <v>27</v>
          </cell>
          <cell r="U37">
            <v>5310000</v>
          </cell>
          <cell r="V37">
            <v>700000</v>
          </cell>
          <cell r="W37">
            <v>170000</v>
          </cell>
          <cell r="X37">
            <v>0</v>
          </cell>
          <cell r="Y37">
            <v>0</v>
          </cell>
          <cell r="Z37">
            <v>6180000</v>
          </cell>
          <cell r="AA37">
            <v>6417692.307692308</v>
          </cell>
          <cell r="AB37">
            <v>0</v>
          </cell>
          <cell r="AC37">
            <v>0</v>
          </cell>
          <cell r="AD37">
            <v>6417692.307692308</v>
          </cell>
          <cell r="AF37">
            <v>350000</v>
          </cell>
          <cell r="AH37">
            <v>3634917.9512195117</v>
          </cell>
          <cell r="AI37">
            <v>880745.19230769225</v>
          </cell>
          <cell r="AJ37">
            <v>0</v>
          </cell>
          <cell r="AK37">
            <v>612692.30769230763</v>
          </cell>
          <cell r="AL37">
            <v>0</v>
          </cell>
        </row>
        <row r="38">
          <cell r="K38">
            <v>104</v>
          </cell>
          <cell r="L38">
            <v>108</v>
          </cell>
          <cell r="M38">
            <v>0</v>
          </cell>
          <cell r="N38">
            <v>60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4</v>
          </cell>
          <cell r="T38">
            <v>108</v>
          </cell>
          <cell r="U38">
            <v>21790000</v>
          </cell>
          <cell r="V38">
            <v>2800000</v>
          </cell>
          <cell r="W38">
            <v>1490000</v>
          </cell>
          <cell r="X38">
            <v>1000000</v>
          </cell>
          <cell r="Y38">
            <v>400000</v>
          </cell>
          <cell r="Z38">
            <v>27480000</v>
          </cell>
          <cell r="AA38">
            <v>28536923.076923076</v>
          </cell>
          <cell r="AB38">
            <v>0</v>
          </cell>
          <cell r="AC38">
            <v>0</v>
          </cell>
          <cell r="AD38">
            <v>28536923.076923076</v>
          </cell>
          <cell r="AE38">
            <v>0</v>
          </cell>
          <cell r="AF38">
            <v>1400000</v>
          </cell>
          <cell r="AG38">
            <v>0</v>
          </cell>
          <cell r="AH38">
            <v>14381042</v>
          </cell>
          <cell r="AI38">
            <v>2325360.576923077</v>
          </cell>
          <cell r="AJ38">
            <v>0</v>
          </cell>
          <cell r="AK38">
            <v>2514230.769230769</v>
          </cell>
          <cell r="AL38">
            <v>0</v>
          </cell>
          <cell r="AM38">
            <v>0</v>
          </cell>
        </row>
        <row r="39">
          <cell r="C39" t="str">
            <v>VB00007</v>
          </cell>
          <cell r="D39" t="str">
            <v>DƯƠNG VĂN LẬP</v>
          </cell>
          <cell r="E39" t="str">
            <v>CHT</v>
          </cell>
          <cell r="F39" t="str">
            <v>Cao cấp</v>
          </cell>
          <cell r="G39">
            <v>43684</v>
          </cell>
          <cell r="H39">
            <v>43743</v>
          </cell>
          <cell r="I39">
            <v>6</v>
          </cell>
          <cell r="J39" t="str">
            <v>Chính thức</v>
          </cell>
          <cell r="K39">
            <v>26</v>
          </cell>
          <cell r="L39">
            <v>27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1</v>
          </cell>
          <cell r="T39">
            <v>27</v>
          </cell>
          <cell r="U39">
            <v>5860000</v>
          </cell>
          <cell r="V39">
            <v>700000</v>
          </cell>
          <cell r="W39">
            <v>1500000</v>
          </cell>
          <cell r="X39">
            <v>800000</v>
          </cell>
          <cell r="Y39">
            <v>400000</v>
          </cell>
          <cell r="Z39">
            <v>9260000</v>
          </cell>
          <cell r="AA39">
            <v>9616153.846153846</v>
          </cell>
          <cell r="AB39">
            <v>0</v>
          </cell>
          <cell r="AC39">
            <v>0</v>
          </cell>
          <cell r="AD39">
            <v>9616153.846153846</v>
          </cell>
          <cell r="AF39">
            <v>350000</v>
          </cell>
          <cell r="AH39">
            <v>1701640.6741573033</v>
          </cell>
          <cell r="AI39">
            <v>0</v>
          </cell>
          <cell r="AJ39">
            <v>0</v>
          </cell>
          <cell r="AK39">
            <v>676153.84615384613</v>
          </cell>
          <cell r="AL39">
            <v>0</v>
          </cell>
        </row>
        <row r="40">
          <cell r="C40" t="str">
            <v>VB00330</v>
          </cell>
          <cell r="D40" t="str">
            <v>HOÀNG KIỀU OANH</v>
          </cell>
          <cell r="E40" t="str">
            <v>TL CHT</v>
          </cell>
          <cell r="G40">
            <v>45161</v>
          </cell>
          <cell r="H40">
            <v>45222</v>
          </cell>
          <cell r="I40">
            <v>2</v>
          </cell>
          <cell r="J40" t="str">
            <v>Chính thức</v>
          </cell>
          <cell r="K40">
            <v>26</v>
          </cell>
          <cell r="L40">
            <v>27</v>
          </cell>
          <cell r="M40">
            <v>0</v>
          </cell>
          <cell r="N40">
            <v>22.5</v>
          </cell>
          <cell r="O40">
            <v>0</v>
          </cell>
          <cell r="P40">
            <v>6.5</v>
          </cell>
          <cell r="Q40">
            <v>0</v>
          </cell>
          <cell r="R40">
            <v>0</v>
          </cell>
          <cell r="S40">
            <v>1</v>
          </cell>
          <cell r="T40">
            <v>27</v>
          </cell>
          <cell r="U40">
            <v>5310000</v>
          </cell>
          <cell r="V40">
            <v>700000</v>
          </cell>
          <cell r="W40">
            <v>1000000</v>
          </cell>
          <cell r="X40">
            <v>650000</v>
          </cell>
          <cell r="Y40">
            <v>400000</v>
          </cell>
          <cell r="Z40">
            <v>8060000</v>
          </cell>
          <cell r="AA40">
            <v>8370000</v>
          </cell>
          <cell r="AB40">
            <v>0</v>
          </cell>
          <cell r="AC40">
            <v>0</v>
          </cell>
          <cell r="AD40">
            <v>8370000</v>
          </cell>
          <cell r="AF40">
            <v>350000</v>
          </cell>
          <cell r="AH40">
            <v>1106066.438202247</v>
          </cell>
          <cell r="AI40">
            <v>861598.55769230751</v>
          </cell>
          <cell r="AJ40">
            <v>0</v>
          </cell>
          <cell r="AK40">
            <v>1110504.8076923075</v>
          </cell>
          <cell r="AL40">
            <v>0</v>
          </cell>
        </row>
        <row r="41">
          <cell r="C41" t="str">
            <v>VB00046</v>
          </cell>
          <cell r="D41" t="str">
            <v>ĐOÀN THỊ PHƯƠNG THẢO</v>
          </cell>
          <cell r="E41" t="str">
            <v>Thu ngân</v>
          </cell>
          <cell r="G41">
            <v>44158</v>
          </cell>
          <cell r="H41">
            <v>44219</v>
          </cell>
          <cell r="I41">
            <v>5</v>
          </cell>
          <cell r="J41" t="str">
            <v>Chính thức</v>
          </cell>
          <cell r="K41">
            <v>26</v>
          </cell>
          <cell r="L41">
            <v>27</v>
          </cell>
          <cell r="M41">
            <v>0</v>
          </cell>
          <cell r="N41">
            <v>7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1</v>
          </cell>
          <cell r="T41">
            <v>27</v>
          </cell>
          <cell r="U41">
            <v>5310000</v>
          </cell>
          <cell r="V41">
            <v>700000</v>
          </cell>
          <cell r="W41">
            <v>350000</v>
          </cell>
          <cell r="X41">
            <v>500000</v>
          </cell>
          <cell r="Y41">
            <v>400000</v>
          </cell>
          <cell r="Z41">
            <v>7260000</v>
          </cell>
          <cell r="AA41">
            <v>7539230.7692307699</v>
          </cell>
          <cell r="AB41">
            <v>0</v>
          </cell>
          <cell r="AC41">
            <v>0</v>
          </cell>
          <cell r="AD41">
            <v>7539230.7692307699</v>
          </cell>
          <cell r="AF41">
            <v>350000</v>
          </cell>
          <cell r="AH41">
            <v>1020984.404494382</v>
          </cell>
          <cell r="AI41">
            <v>268052.88461538462</v>
          </cell>
          <cell r="AJ41">
            <v>0</v>
          </cell>
          <cell r="AK41">
            <v>612692.30769230763</v>
          </cell>
          <cell r="AL41">
            <v>0</v>
          </cell>
        </row>
        <row r="42">
          <cell r="C42" t="str">
            <v>VB00047</v>
          </cell>
          <cell r="D42" t="str">
            <v>ĐỒNG THỊ THANH THƯ</v>
          </cell>
          <cell r="E42" t="str">
            <v>NVBH</v>
          </cell>
          <cell r="F42" t="str">
            <v>Cao cấp</v>
          </cell>
          <cell r="G42">
            <v>44158</v>
          </cell>
          <cell r="H42">
            <v>44219</v>
          </cell>
          <cell r="I42">
            <v>5</v>
          </cell>
          <cell r="J42" t="str">
            <v>Chính thức</v>
          </cell>
          <cell r="K42">
            <v>26</v>
          </cell>
          <cell r="L42">
            <v>27</v>
          </cell>
          <cell r="M42">
            <v>0</v>
          </cell>
          <cell r="N42">
            <v>6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1</v>
          </cell>
          <cell r="T42">
            <v>27</v>
          </cell>
          <cell r="U42">
            <v>5310000</v>
          </cell>
          <cell r="V42">
            <v>700000</v>
          </cell>
          <cell r="W42">
            <v>350000</v>
          </cell>
          <cell r="X42">
            <v>500000</v>
          </cell>
          <cell r="Y42">
            <v>400000</v>
          </cell>
          <cell r="Z42">
            <v>7260000</v>
          </cell>
          <cell r="AA42">
            <v>7539230.7692307699</v>
          </cell>
          <cell r="AB42">
            <v>0</v>
          </cell>
          <cell r="AC42">
            <v>0</v>
          </cell>
          <cell r="AD42">
            <v>7539230.7692307699</v>
          </cell>
          <cell r="AF42">
            <v>350000</v>
          </cell>
          <cell r="AH42">
            <v>978174.80125842709</v>
          </cell>
          <cell r="AI42">
            <v>229759.61538461538</v>
          </cell>
          <cell r="AJ42">
            <v>0</v>
          </cell>
          <cell r="AK42">
            <v>612692.30769230763</v>
          </cell>
          <cell r="AL42">
            <v>0</v>
          </cell>
        </row>
        <row r="43">
          <cell r="C43" t="str">
            <v>VB00043</v>
          </cell>
          <cell r="D43" t="str">
            <v>NGUYỄN THỊ HUYỀN TRANG</v>
          </cell>
          <cell r="E43" t="str">
            <v>NVBH</v>
          </cell>
          <cell r="F43" t="str">
            <v>Cao cấp</v>
          </cell>
          <cell r="G43">
            <v>44154</v>
          </cell>
          <cell r="H43">
            <v>44216</v>
          </cell>
          <cell r="I43">
            <v>5</v>
          </cell>
          <cell r="J43" t="str">
            <v>Chính thức</v>
          </cell>
          <cell r="K43">
            <v>26</v>
          </cell>
          <cell r="L43">
            <v>27</v>
          </cell>
          <cell r="M43">
            <v>0</v>
          </cell>
          <cell r="N43">
            <v>6</v>
          </cell>
          <cell r="O43">
            <v>0</v>
          </cell>
          <cell r="P43">
            <v>6.5</v>
          </cell>
          <cell r="Q43">
            <v>0</v>
          </cell>
          <cell r="R43">
            <v>0</v>
          </cell>
          <cell r="S43">
            <v>1</v>
          </cell>
          <cell r="T43">
            <v>27</v>
          </cell>
          <cell r="U43">
            <v>5310000</v>
          </cell>
          <cell r="V43">
            <v>700000</v>
          </cell>
          <cell r="W43">
            <v>350000</v>
          </cell>
          <cell r="X43">
            <v>500000</v>
          </cell>
          <cell r="Y43">
            <v>400000</v>
          </cell>
          <cell r="Z43">
            <v>7260000</v>
          </cell>
          <cell r="AA43">
            <v>7539230.7692307699</v>
          </cell>
          <cell r="AB43">
            <v>0</v>
          </cell>
          <cell r="AC43">
            <v>0</v>
          </cell>
          <cell r="AD43">
            <v>7539230.7692307699</v>
          </cell>
          <cell r="AF43">
            <v>350000</v>
          </cell>
          <cell r="AH43">
            <v>568231.59083146066</v>
          </cell>
          <cell r="AI43">
            <v>229759.61538461538</v>
          </cell>
          <cell r="AJ43">
            <v>0</v>
          </cell>
          <cell r="AK43">
            <v>1110504.8076923075</v>
          </cell>
          <cell r="AL43">
            <v>0</v>
          </cell>
        </row>
        <row r="44">
          <cell r="C44" t="str">
            <v>VB00365</v>
          </cell>
          <cell r="D44" t="str">
            <v>NGUYỄN THỊ THU TRANG</v>
          </cell>
          <cell r="E44" t="str">
            <v>NVBH</v>
          </cell>
          <cell r="F44" t="str">
            <v>Trung cấp</v>
          </cell>
          <cell r="G44">
            <v>45262</v>
          </cell>
          <cell r="H44">
            <v>45323</v>
          </cell>
          <cell r="I44">
            <v>2</v>
          </cell>
          <cell r="J44" t="str">
            <v>Chính thức</v>
          </cell>
          <cell r="K44">
            <v>26</v>
          </cell>
          <cell r="L44">
            <v>20</v>
          </cell>
          <cell r="M44">
            <v>0</v>
          </cell>
          <cell r="N44">
            <v>8.5</v>
          </cell>
          <cell r="O44">
            <v>0</v>
          </cell>
          <cell r="P44">
            <v>6.5</v>
          </cell>
          <cell r="Q44">
            <v>0</v>
          </cell>
          <cell r="R44">
            <v>0</v>
          </cell>
          <cell r="S44">
            <v>1</v>
          </cell>
          <cell r="T44">
            <v>20</v>
          </cell>
          <cell r="U44">
            <v>5310000</v>
          </cell>
          <cell r="V44">
            <v>700000</v>
          </cell>
          <cell r="X44">
            <v>500000</v>
          </cell>
          <cell r="Y44">
            <v>400000</v>
          </cell>
          <cell r="Z44">
            <v>6910000</v>
          </cell>
          <cell r="AA44">
            <v>5315384.615384615</v>
          </cell>
          <cell r="AB44">
            <v>0</v>
          </cell>
          <cell r="AC44">
            <v>0</v>
          </cell>
          <cell r="AD44">
            <v>5315384.615384615</v>
          </cell>
          <cell r="AF44">
            <v>0</v>
          </cell>
          <cell r="AH44">
            <v>774266.04224719119</v>
          </cell>
          <cell r="AI44">
            <v>325492.78846153844</v>
          </cell>
          <cell r="AJ44">
            <v>0</v>
          </cell>
          <cell r="AK44">
            <v>1110504.8076923075</v>
          </cell>
          <cell r="AL44">
            <v>0</v>
          </cell>
        </row>
        <row r="45">
          <cell r="C45" t="str">
            <v>VB00171</v>
          </cell>
          <cell r="D45" t="str">
            <v>BÙI ĐỨC HUY</v>
          </cell>
          <cell r="E45" t="str">
            <v>NVBH</v>
          </cell>
          <cell r="F45" t="str">
            <v>Trung cấp</v>
          </cell>
          <cell r="G45">
            <v>44643</v>
          </cell>
          <cell r="H45">
            <v>44703</v>
          </cell>
          <cell r="I45">
            <v>4</v>
          </cell>
          <cell r="J45" t="str">
            <v>Chính thức</v>
          </cell>
          <cell r="K45">
            <v>26</v>
          </cell>
          <cell r="L45">
            <v>27</v>
          </cell>
          <cell r="M45">
            <v>0</v>
          </cell>
          <cell r="N45">
            <v>6</v>
          </cell>
          <cell r="O45">
            <v>0</v>
          </cell>
          <cell r="P45">
            <v>6.5</v>
          </cell>
          <cell r="Q45">
            <v>0</v>
          </cell>
          <cell r="R45">
            <v>0</v>
          </cell>
          <cell r="S45">
            <v>1</v>
          </cell>
          <cell r="T45">
            <v>27</v>
          </cell>
          <cell r="U45">
            <v>5310000</v>
          </cell>
          <cell r="V45">
            <v>700000</v>
          </cell>
          <cell r="X45">
            <v>500000</v>
          </cell>
          <cell r="Y45">
            <v>400000</v>
          </cell>
          <cell r="Z45">
            <v>6910000</v>
          </cell>
          <cell r="AA45">
            <v>7175769.2307692301</v>
          </cell>
          <cell r="AB45">
            <v>0</v>
          </cell>
          <cell r="AC45">
            <v>0</v>
          </cell>
          <cell r="AD45">
            <v>7175769.2307692301</v>
          </cell>
          <cell r="AF45">
            <v>350000</v>
          </cell>
          <cell r="AH45">
            <v>1052598.5211685395</v>
          </cell>
          <cell r="AI45">
            <v>229759.61538461538</v>
          </cell>
          <cell r="AJ45">
            <v>0</v>
          </cell>
          <cell r="AK45">
            <v>1110504.8076923075</v>
          </cell>
          <cell r="AL45">
            <v>0</v>
          </cell>
        </row>
        <row r="46">
          <cell r="C46" t="str">
            <v>VBP00020</v>
          </cell>
          <cell r="D46" t="str">
            <v>VŨ HẢI NAM</v>
          </cell>
          <cell r="E46" t="str">
            <v>NVBH</v>
          </cell>
          <cell r="F46" t="str">
            <v>PART</v>
          </cell>
          <cell r="G46">
            <v>46152</v>
          </cell>
          <cell r="H46">
            <v>46152</v>
          </cell>
          <cell r="I46">
            <v>0</v>
          </cell>
          <cell r="J46" t="str">
            <v>Thời vụ</v>
          </cell>
          <cell r="K46">
            <v>26</v>
          </cell>
          <cell r="L46">
            <v>11.5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11.5</v>
          </cell>
          <cell r="U46">
            <v>266666.66666666669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266666.66666666669</v>
          </cell>
          <cell r="AA46">
            <v>3066666.666666667</v>
          </cell>
          <cell r="AB46">
            <v>0</v>
          </cell>
          <cell r="AC46">
            <v>0</v>
          </cell>
          <cell r="AD46">
            <v>3066666.666666667</v>
          </cell>
          <cell r="AF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</row>
        <row r="47">
          <cell r="K47">
            <v>208</v>
          </cell>
          <cell r="L47">
            <v>193.5</v>
          </cell>
          <cell r="M47">
            <v>0</v>
          </cell>
          <cell r="N47">
            <v>56</v>
          </cell>
          <cell r="O47">
            <v>0</v>
          </cell>
          <cell r="P47">
            <v>26</v>
          </cell>
          <cell r="Q47">
            <v>0</v>
          </cell>
          <cell r="R47">
            <v>0</v>
          </cell>
          <cell r="S47">
            <v>7</v>
          </cell>
          <cell r="T47">
            <v>193.5</v>
          </cell>
          <cell r="U47">
            <v>37986666.666666664</v>
          </cell>
          <cell r="V47">
            <v>4900000</v>
          </cell>
          <cell r="W47">
            <v>3550000</v>
          </cell>
          <cell r="X47">
            <v>3950000</v>
          </cell>
          <cell r="Y47">
            <v>2800000</v>
          </cell>
          <cell r="Z47">
            <v>53186666.666666664</v>
          </cell>
          <cell r="AA47">
            <v>56161666.666666664</v>
          </cell>
          <cell r="AB47">
            <v>0</v>
          </cell>
          <cell r="AC47">
            <v>0</v>
          </cell>
          <cell r="AD47">
            <v>56161666.666666664</v>
          </cell>
          <cell r="AE47">
            <v>0</v>
          </cell>
          <cell r="AF47">
            <v>2100000</v>
          </cell>
          <cell r="AG47">
            <v>0</v>
          </cell>
          <cell r="AH47">
            <v>7201962.4723595502</v>
          </cell>
          <cell r="AI47">
            <v>2144423.076923077</v>
          </cell>
          <cell r="AJ47">
            <v>0</v>
          </cell>
          <cell r="AK47">
            <v>6343557.692307692</v>
          </cell>
          <cell r="AL47">
            <v>0</v>
          </cell>
          <cell r="AM47">
            <v>0</v>
          </cell>
        </row>
        <row r="48">
          <cell r="C48" t="str">
            <v>VB00069</v>
          </cell>
          <cell r="D48" t="str">
            <v>NGUYỄN THỊ NGÂN</v>
          </cell>
          <cell r="E48" t="str">
            <v>CHT</v>
          </cell>
          <cell r="F48" t="str">
            <v>Cao cấp</v>
          </cell>
          <cell r="G48">
            <v>44291</v>
          </cell>
          <cell r="H48">
            <v>44352</v>
          </cell>
          <cell r="I48">
            <v>5</v>
          </cell>
          <cell r="J48" t="str">
            <v>Chính thức</v>
          </cell>
          <cell r="K48">
            <v>26</v>
          </cell>
          <cell r="L48">
            <v>27</v>
          </cell>
          <cell r="M48">
            <v>0</v>
          </cell>
          <cell r="N48">
            <v>33.5</v>
          </cell>
          <cell r="O48">
            <v>0</v>
          </cell>
          <cell r="P48">
            <v>6.5</v>
          </cell>
          <cell r="R48">
            <v>0</v>
          </cell>
          <cell r="S48">
            <v>1</v>
          </cell>
          <cell r="T48">
            <v>27</v>
          </cell>
          <cell r="U48">
            <v>5860000</v>
          </cell>
          <cell r="V48">
            <v>700000</v>
          </cell>
          <cell r="W48">
            <v>1500000</v>
          </cell>
          <cell r="X48">
            <v>800000</v>
          </cell>
          <cell r="Y48">
            <v>400000</v>
          </cell>
          <cell r="Z48">
            <v>9260000</v>
          </cell>
          <cell r="AA48">
            <v>9616153.846153846</v>
          </cell>
          <cell r="AB48">
            <v>0</v>
          </cell>
          <cell r="AC48">
            <v>0</v>
          </cell>
          <cell r="AD48">
            <v>9616153.846153846</v>
          </cell>
          <cell r="AF48">
            <v>350000</v>
          </cell>
          <cell r="AH48">
            <v>4191037.5609756103</v>
          </cell>
          <cell r="AI48">
            <v>1415697.1153846153</v>
          </cell>
          <cell r="AJ48">
            <v>0</v>
          </cell>
          <cell r="AK48">
            <v>1225528.846153846</v>
          </cell>
          <cell r="AL48">
            <v>0</v>
          </cell>
        </row>
        <row r="49">
          <cell r="C49" t="str">
            <v>VB00305</v>
          </cell>
          <cell r="D49" t="str">
            <v>NÔNG THỊ HẢI YẾN</v>
          </cell>
          <cell r="E49" t="str">
            <v>TL CHT</v>
          </cell>
          <cell r="G49">
            <v>45048</v>
          </cell>
          <cell r="H49">
            <v>45109</v>
          </cell>
          <cell r="I49">
            <v>3</v>
          </cell>
          <cell r="J49" t="str">
            <v>Chính thức</v>
          </cell>
          <cell r="K49">
            <v>26</v>
          </cell>
          <cell r="L49">
            <v>27</v>
          </cell>
          <cell r="M49">
            <v>0</v>
          </cell>
          <cell r="N49">
            <v>33.5</v>
          </cell>
          <cell r="O49">
            <v>0</v>
          </cell>
          <cell r="P49">
            <v>6.5</v>
          </cell>
          <cell r="R49">
            <v>0</v>
          </cell>
          <cell r="S49">
            <v>1</v>
          </cell>
          <cell r="T49">
            <v>27</v>
          </cell>
          <cell r="U49">
            <v>5310000</v>
          </cell>
          <cell r="V49">
            <v>700000</v>
          </cell>
          <cell r="W49">
            <v>1000000</v>
          </cell>
          <cell r="X49">
            <v>650000</v>
          </cell>
          <cell r="Y49">
            <v>400000</v>
          </cell>
          <cell r="Z49">
            <v>8060000</v>
          </cell>
          <cell r="AA49">
            <v>8370000</v>
          </cell>
          <cell r="AB49">
            <v>0</v>
          </cell>
          <cell r="AC49">
            <v>0</v>
          </cell>
          <cell r="AD49">
            <v>8370000</v>
          </cell>
          <cell r="AF49">
            <v>350000</v>
          </cell>
          <cell r="AH49">
            <v>2601862.0975609752</v>
          </cell>
          <cell r="AI49">
            <v>1282824.5192307692</v>
          </cell>
          <cell r="AJ49">
            <v>0</v>
          </cell>
          <cell r="AK49">
            <v>1110504.8076923075</v>
          </cell>
          <cell r="AL49">
            <v>0</v>
          </cell>
        </row>
        <row r="50">
          <cell r="C50" t="str">
            <v>VB00668</v>
          </cell>
          <cell r="D50" t="str">
            <v>LƯƠNG NGUYỄN HẢI ANH</v>
          </cell>
          <cell r="E50" t="str">
            <v>NVBH</v>
          </cell>
          <cell r="F50" t="str">
            <v>Sơ cấp</v>
          </cell>
          <cell r="G50">
            <v>46090</v>
          </cell>
          <cell r="H50">
            <v>45779</v>
          </cell>
          <cell r="I50">
            <v>0</v>
          </cell>
          <cell r="J50" t="str">
            <v>Chính thức</v>
          </cell>
          <cell r="K50">
            <v>26</v>
          </cell>
          <cell r="L50">
            <v>27</v>
          </cell>
          <cell r="M50">
            <v>0</v>
          </cell>
          <cell r="N50">
            <v>33.5</v>
          </cell>
          <cell r="O50">
            <v>0</v>
          </cell>
          <cell r="P50">
            <v>6.5</v>
          </cell>
          <cell r="R50">
            <v>0</v>
          </cell>
          <cell r="S50">
            <v>1</v>
          </cell>
          <cell r="T50">
            <v>27</v>
          </cell>
          <cell r="U50">
            <v>5310000</v>
          </cell>
          <cell r="V50">
            <v>700000</v>
          </cell>
          <cell r="W50">
            <v>150000</v>
          </cell>
          <cell r="X50">
            <v>500000</v>
          </cell>
          <cell r="Z50">
            <v>6660000</v>
          </cell>
          <cell r="AA50">
            <v>6916153.846153846</v>
          </cell>
          <cell r="AB50">
            <v>0</v>
          </cell>
          <cell r="AC50">
            <v>0</v>
          </cell>
          <cell r="AD50">
            <v>6916153.846153846</v>
          </cell>
          <cell r="AF50">
            <v>350000</v>
          </cell>
          <cell r="AH50">
            <v>1798727.3414634145</v>
          </cell>
          <cell r="AI50">
            <v>1282824.5192307692</v>
          </cell>
          <cell r="AJ50">
            <v>0</v>
          </cell>
          <cell r="AK50">
            <v>1110504.8076923075</v>
          </cell>
          <cell r="AL50">
            <v>0</v>
          </cell>
        </row>
        <row r="51">
          <cell r="K51">
            <v>78</v>
          </cell>
          <cell r="L51">
            <v>81</v>
          </cell>
          <cell r="M51">
            <v>0</v>
          </cell>
          <cell r="N51">
            <v>100.5</v>
          </cell>
          <cell r="O51">
            <v>0</v>
          </cell>
          <cell r="P51">
            <v>19.5</v>
          </cell>
          <cell r="Q51">
            <v>0</v>
          </cell>
          <cell r="R51">
            <v>0</v>
          </cell>
          <cell r="S51">
            <v>3</v>
          </cell>
          <cell r="T51">
            <v>81</v>
          </cell>
          <cell r="U51">
            <v>16480000</v>
          </cell>
          <cell r="V51">
            <v>2100000</v>
          </cell>
          <cell r="W51">
            <v>2650000</v>
          </cell>
          <cell r="X51">
            <v>1950000</v>
          </cell>
          <cell r="Y51">
            <v>800000</v>
          </cell>
          <cell r="Z51">
            <v>23980000</v>
          </cell>
          <cell r="AA51">
            <v>24902307.692307696</v>
          </cell>
          <cell r="AB51">
            <v>0</v>
          </cell>
          <cell r="AC51">
            <v>0</v>
          </cell>
          <cell r="AD51">
            <v>24902307.692307696</v>
          </cell>
          <cell r="AE51">
            <v>0</v>
          </cell>
          <cell r="AF51">
            <v>1050000</v>
          </cell>
          <cell r="AG51">
            <v>0</v>
          </cell>
          <cell r="AH51">
            <v>8591627</v>
          </cell>
          <cell r="AI51">
            <v>3981346.153846154</v>
          </cell>
          <cell r="AJ51">
            <v>0</v>
          </cell>
          <cell r="AK51">
            <v>3446538.461538461</v>
          </cell>
          <cell r="AL51">
            <v>0</v>
          </cell>
          <cell r="AM51">
            <v>0</v>
          </cell>
        </row>
        <row r="52">
          <cell r="C52" t="str">
            <v>VB00075</v>
          </cell>
          <cell r="D52" t="str">
            <v>PHAN THỊ HỒNG MY</v>
          </cell>
          <cell r="E52" t="str">
            <v>Thu ngân</v>
          </cell>
          <cell r="F52" t="str">
            <v>Cao cấp</v>
          </cell>
          <cell r="G52">
            <v>44291</v>
          </cell>
          <cell r="H52">
            <v>44352</v>
          </cell>
          <cell r="I52">
            <v>5</v>
          </cell>
          <cell r="J52" t="str">
            <v>Chính thức</v>
          </cell>
          <cell r="K52">
            <v>26</v>
          </cell>
          <cell r="L52">
            <v>27</v>
          </cell>
          <cell r="M52">
            <v>0</v>
          </cell>
          <cell r="N52">
            <v>25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27</v>
          </cell>
          <cell r="U52">
            <v>5310000</v>
          </cell>
          <cell r="V52">
            <v>700000</v>
          </cell>
          <cell r="W52">
            <v>1000000</v>
          </cell>
          <cell r="X52">
            <v>750000</v>
          </cell>
          <cell r="Y52">
            <v>400000</v>
          </cell>
          <cell r="Z52">
            <v>8160000</v>
          </cell>
          <cell r="AA52">
            <v>8473846.153846154</v>
          </cell>
          <cell r="AB52">
            <v>0</v>
          </cell>
          <cell r="AC52">
            <v>0</v>
          </cell>
          <cell r="AD52">
            <v>8473846.153846154</v>
          </cell>
          <cell r="AF52">
            <v>350000</v>
          </cell>
          <cell r="AH52">
            <v>2103281.7272727275</v>
          </cell>
          <cell r="AI52">
            <v>957331.73076923063</v>
          </cell>
          <cell r="AJ52">
            <v>0</v>
          </cell>
          <cell r="AK52">
            <v>0</v>
          </cell>
          <cell r="AL52">
            <v>0</v>
          </cell>
        </row>
        <row r="53">
          <cell r="C53" t="str">
            <v>VB00265</v>
          </cell>
          <cell r="D53" t="str">
            <v>CAO THỊ HỒNG HẠNH</v>
          </cell>
          <cell r="E53" t="str">
            <v>NVBH</v>
          </cell>
          <cell r="F53" t="str">
            <v>Cao cấp</v>
          </cell>
          <cell r="G53">
            <v>44868</v>
          </cell>
          <cell r="H53">
            <v>44929</v>
          </cell>
          <cell r="I53">
            <v>3</v>
          </cell>
          <cell r="J53" t="str">
            <v>Chính thức</v>
          </cell>
          <cell r="K53">
            <v>26</v>
          </cell>
          <cell r="L53">
            <v>27</v>
          </cell>
          <cell r="M53">
            <v>0</v>
          </cell>
          <cell r="N53">
            <v>6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1</v>
          </cell>
          <cell r="T53">
            <v>27</v>
          </cell>
          <cell r="U53">
            <v>5310000</v>
          </cell>
          <cell r="V53">
            <v>700000</v>
          </cell>
          <cell r="W53">
            <v>1000000</v>
          </cell>
          <cell r="X53">
            <v>750000</v>
          </cell>
          <cell r="Y53">
            <v>400000</v>
          </cell>
          <cell r="Z53">
            <v>8160000</v>
          </cell>
          <cell r="AA53">
            <v>8473846.153846154</v>
          </cell>
          <cell r="AB53">
            <v>0</v>
          </cell>
          <cell r="AC53">
            <v>0</v>
          </cell>
          <cell r="AD53">
            <v>8473846.153846154</v>
          </cell>
          <cell r="AF53">
            <v>350000</v>
          </cell>
          <cell r="AH53">
            <v>2646327.4090909092</v>
          </cell>
          <cell r="AI53">
            <v>229759.61538461538</v>
          </cell>
          <cell r="AJ53">
            <v>0</v>
          </cell>
          <cell r="AK53">
            <v>612692.30769230763</v>
          </cell>
          <cell r="AL53">
            <v>0</v>
          </cell>
        </row>
        <row r="54">
          <cell r="C54" t="str">
            <v>VB00165</v>
          </cell>
          <cell r="D54" t="str">
            <v>NGUYỄN THỊ HOÀI THU</v>
          </cell>
          <cell r="E54" t="str">
            <v>NVBH</v>
          </cell>
          <cell r="F54" t="str">
            <v>Cao cấp</v>
          </cell>
          <cell r="G54">
            <v>44631</v>
          </cell>
          <cell r="H54">
            <v>44691</v>
          </cell>
          <cell r="I54">
            <v>4</v>
          </cell>
          <cell r="J54" t="str">
            <v>Chính thức</v>
          </cell>
          <cell r="K54">
            <v>26</v>
          </cell>
          <cell r="L54">
            <v>27</v>
          </cell>
          <cell r="M54">
            <v>0</v>
          </cell>
          <cell r="N54">
            <v>26</v>
          </cell>
          <cell r="O54">
            <v>0</v>
          </cell>
          <cell r="P54">
            <v>7</v>
          </cell>
          <cell r="Q54">
            <v>0</v>
          </cell>
          <cell r="R54">
            <v>0</v>
          </cell>
          <cell r="S54">
            <v>1</v>
          </cell>
          <cell r="T54">
            <v>27</v>
          </cell>
          <cell r="U54">
            <v>5310000</v>
          </cell>
          <cell r="V54">
            <v>700000</v>
          </cell>
          <cell r="W54">
            <v>1000000</v>
          </cell>
          <cell r="X54">
            <v>750000</v>
          </cell>
          <cell r="Y54">
            <v>400000</v>
          </cell>
          <cell r="Z54">
            <v>8160000</v>
          </cell>
          <cell r="AA54">
            <v>8473846.153846154</v>
          </cell>
          <cell r="AB54">
            <v>0</v>
          </cell>
          <cell r="AC54">
            <v>0</v>
          </cell>
          <cell r="AD54">
            <v>8473846.153846154</v>
          </cell>
          <cell r="AF54">
            <v>350000</v>
          </cell>
          <cell r="AH54">
            <v>2851521.2727272729</v>
          </cell>
          <cell r="AI54">
            <v>995625</v>
          </cell>
          <cell r="AJ54">
            <v>0</v>
          </cell>
          <cell r="AK54">
            <v>1148798.076923077</v>
          </cell>
          <cell r="AL54">
            <v>0</v>
          </cell>
        </row>
        <row r="55">
          <cell r="C55" t="str">
            <v>VB00287</v>
          </cell>
          <cell r="D55" t="str">
            <v>LƯU HỒNG NHUNG</v>
          </cell>
          <cell r="E55" t="str">
            <v>NVBH</v>
          </cell>
          <cell r="F55" t="str">
            <v>Cao cấp</v>
          </cell>
          <cell r="G55">
            <v>44987</v>
          </cell>
          <cell r="H55">
            <v>45048</v>
          </cell>
          <cell r="I55">
            <v>3</v>
          </cell>
          <cell r="J55" t="str">
            <v>Chính thức</v>
          </cell>
          <cell r="K55">
            <v>26</v>
          </cell>
          <cell r="L55">
            <v>27</v>
          </cell>
          <cell r="M55">
            <v>0</v>
          </cell>
          <cell r="N55">
            <v>16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1</v>
          </cell>
          <cell r="T55">
            <v>27</v>
          </cell>
          <cell r="U55">
            <v>5310000</v>
          </cell>
          <cell r="V55">
            <v>700000</v>
          </cell>
          <cell r="W55">
            <v>1000000</v>
          </cell>
          <cell r="X55">
            <v>750000</v>
          </cell>
          <cell r="Y55">
            <v>400000</v>
          </cell>
          <cell r="Z55">
            <v>8160000</v>
          </cell>
          <cell r="AA55">
            <v>8473846.153846154</v>
          </cell>
          <cell r="AB55">
            <v>0</v>
          </cell>
          <cell r="AC55">
            <v>0</v>
          </cell>
          <cell r="AD55">
            <v>8473846.153846154</v>
          </cell>
          <cell r="AF55">
            <v>350000</v>
          </cell>
          <cell r="AH55">
            <v>2486537.4545454551</v>
          </cell>
          <cell r="AI55">
            <v>612692.30769230763</v>
          </cell>
          <cell r="AJ55">
            <v>0</v>
          </cell>
          <cell r="AK55">
            <v>612692.30769230763</v>
          </cell>
          <cell r="AL55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W27"/>
  <sheetViews>
    <sheetView tabSelected="1" workbookViewId="0">
      <selection activeCell="F10" sqref="F10"/>
    </sheetView>
  </sheetViews>
  <sheetFormatPr defaultRowHeight="12.75"/>
  <cols>
    <col min="1" max="1" width="4.5703125" style="350" customWidth="1"/>
    <col min="2" max="2" width="13.28515625" style="350" customWidth="1"/>
    <col min="3" max="3" width="20" style="350" customWidth="1"/>
    <col min="4" max="4" width="4.7109375" style="350" customWidth="1"/>
    <col min="5" max="34" width="4.7109375" style="350" bestFit="1" customWidth="1"/>
    <col min="35" max="45" width="4.7109375" style="350" customWidth="1"/>
    <col min="46" max="46" width="5.7109375" style="350" customWidth="1"/>
    <col min="47" max="49" width="3.28515625" style="350" bestFit="1" customWidth="1"/>
    <col min="50" max="16384" width="9.140625" style="350"/>
  </cols>
  <sheetData>
    <row r="1" spans="1:49">
      <c r="A1" s="357" t="s">
        <v>137</v>
      </c>
      <c r="B1" s="357"/>
      <c r="C1" s="357"/>
      <c r="D1" s="357"/>
      <c r="E1" s="357"/>
      <c r="F1" s="357"/>
      <c r="G1" s="357"/>
      <c r="H1" s="357"/>
      <c r="I1" s="357"/>
      <c r="J1" s="357"/>
      <c r="K1" s="357"/>
      <c r="L1" s="357"/>
      <c r="M1" s="357"/>
      <c r="N1" s="357"/>
      <c r="O1" s="357"/>
      <c r="P1" s="357"/>
      <c r="Q1" s="357"/>
      <c r="R1" s="357"/>
      <c r="S1" s="357"/>
      <c r="T1" s="357"/>
      <c r="U1" s="357"/>
      <c r="V1" s="357"/>
      <c r="W1" s="357"/>
      <c r="X1" s="357"/>
      <c r="Y1" s="357"/>
      <c r="Z1" s="357"/>
      <c r="AA1" s="357"/>
      <c r="AB1" s="357"/>
      <c r="AC1" s="357"/>
      <c r="AD1" s="357"/>
      <c r="AE1" s="357"/>
      <c r="AF1" s="357"/>
      <c r="AG1" s="357"/>
      <c r="AH1" s="357"/>
      <c r="AI1" s="357"/>
      <c r="AJ1" s="357"/>
      <c r="AK1" s="357"/>
      <c r="AL1" s="357"/>
      <c r="AM1" s="357"/>
      <c r="AN1" s="357"/>
      <c r="AO1" s="357"/>
      <c r="AP1" s="357"/>
      <c r="AQ1" s="357"/>
      <c r="AR1" s="357"/>
      <c r="AS1" s="357"/>
      <c r="AT1" s="357"/>
      <c r="AU1" s="357"/>
      <c r="AV1" s="357"/>
      <c r="AW1" s="357"/>
    </row>
    <row r="2" spans="1:49">
      <c r="A2" s="357" t="s">
        <v>138</v>
      </c>
      <c r="B2" s="357"/>
      <c r="C2" s="357"/>
      <c r="D2" s="357"/>
      <c r="E2" s="357"/>
      <c r="F2" s="357"/>
      <c r="G2" s="357"/>
      <c r="H2" s="357"/>
      <c r="I2" s="357"/>
      <c r="J2" s="357"/>
      <c r="K2" s="357"/>
      <c r="L2" s="357"/>
      <c r="M2" s="357"/>
      <c r="N2" s="357"/>
      <c r="O2" s="357"/>
      <c r="P2" s="357"/>
      <c r="Q2" s="357"/>
      <c r="R2" s="357"/>
      <c r="S2" s="357"/>
      <c r="T2" s="357"/>
      <c r="U2" s="357"/>
      <c r="V2" s="357"/>
      <c r="W2" s="357"/>
      <c r="X2" s="357"/>
      <c r="Y2" s="357"/>
      <c r="Z2" s="357"/>
      <c r="AA2" s="357"/>
      <c r="AB2" s="357"/>
      <c r="AC2" s="357"/>
      <c r="AD2" s="357"/>
      <c r="AE2" s="357"/>
      <c r="AF2" s="357"/>
      <c r="AG2" s="357"/>
      <c r="AH2" s="357"/>
      <c r="AI2" s="357"/>
      <c r="AJ2" s="357"/>
      <c r="AK2" s="357"/>
      <c r="AL2" s="357"/>
      <c r="AM2" s="357"/>
      <c r="AN2" s="357"/>
      <c r="AO2" s="357"/>
      <c r="AP2" s="357"/>
      <c r="AQ2" s="357"/>
      <c r="AR2" s="357"/>
      <c r="AS2" s="357"/>
      <c r="AT2" s="357"/>
      <c r="AU2" s="357"/>
      <c r="AV2" s="357"/>
      <c r="AW2" s="357"/>
    </row>
    <row r="3" spans="1:49" ht="18" customHeight="1">
      <c r="A3" s="358" t="s">
        <v>139</v>
      </c>
      <c r="B3" s="358"/>
      <c r="C3" s="358"/>
      <c r="D3" s="358"/>
      <c r="E3" s="358"/>
      <c r="F3" s="358"/>
      <c r="G3" s="358"/>
      <c r="H3" s="358"/>
      <c r="I3" s="358"/>
      <c r="J3" s="358"/>
      <c r="K3" s="358"/>
      <c r="L3" s="358"/>
      <c r="M3" s="358"/>
      <c r="N3" s="358"/>
      <c r="O3" s="358"/>
      <c r="P3" s="358"/>
      <c r="Q3" s="358"/>
      <c r="R3" s="358"/>
      <c r="S3" s="358"/>
      <c r="T3" s="358"/>
      <c r="U3" s="358"/>
      <c r="V3" s="358"/>
      <c r="W3" s="358"/>
      <c r="X3" s="358"/>
      <c r="Y3" s="358"/>
      <c r="Z3" s="358"/>
      <c r="AA3" s="358"/>
      <c r="AB3" s="358"/>
      <c r="AC3" s="358"/>
      <c r="AD3" s="358"/>
      <c r="AE3" s="358"/>
      <c r="AF3" s="358"/>
      <c r="AG3" s="358"/>
      <c r="AH3" s="358"/>
      <c r="AI3" s="358"/>
      <c r="AJ3" s="358"/>
      <c r="AK3" s="358"/>
      <c r="AL3" s="358"/>
      <c r="AM3" s="358"/>
      <c r="AN3" s="358"/>
      <c r="AO3" s="358"/>
      <c r="AP3" s="358"/>
      <c r="AQ3" s="358"/>
      <c r="AR3" s="358"/>
      <c r="AS3" s="358"/>
      <c r="AT3" s="358"/>
      <c r="AU3" s="358"/>
      <c r="AV3" s="358"/>
      <c r="AW3" s="358"/>
    </row>
    <row r="4" spans="1:49">
      <c r="A4" s="359" t="s">
        <v>140</v>
      </c>
      <c r="B4" s="359"/>
      <c r="C4" s="359"/>
      <c r="D4" s="359"/>
      <c r="E4" s="359"/>
      <c r="F4" s="359"/>
      <c r="G4" s="359"/>
      <c r="H4" s="359"/>
      <c r="I4" s="359"/>
      <c r="J4" s="359"/>
      <c r="K4" s="359"/>
      <c r="L4" s="359"/>
      <c r="M4" s="359"/>
      <c r="N4" s="359"/>
      <c r="O4" s="359"/>
      <c r="P4" s="359"/>
      <c r="Q4" s="359"/>
      <c r="R4" s="359"/>
      <c r="S4" s="359"/>
      <c r="T4" s="359"/>
      <c r="U4" s="359"/>
      <c r="V4" s="359"/>
      <c r="W4" s="359"/>
      <c r="X4" s="359"/>
      <c r="Y4" s="359"/>
      <c r="Z4" s="359"/>
      <c r="AA4" s="359"/>
      <c r="AB4" s="359"/>
      <c r="AC4" s="359"/>
      <c r="AD4" s="359"/>
      <c r="AE4" s="359"/>
      <c r="AF4" s="359"/>
      <c r="AG4" s="359"/>
      <c r="AH4" s="359"/>
      <c r="AI4" s="359"/>
      <c r="AJ4" s="359"/>
      <c r="AK4" s="359"/>
      <c r="AL4" s="359"/>
      <c r="AM4" s="359"/>
      <c r="AN4" s="359"/>
      <c r="AO4" s="359"/>
      <c r="AP4" s="359"/>
      <c r="AQ4" s="359"/>
      <c r="AR4" s="359"/>
      <c r="AS4" s="359"/>
      <c r="AT4" s="359"/>
      <c r="AU4" s="359"/>
      <c r="AV4" s="359"/>
      <c r="AW4" s="359"/>
    </row>
    <row r="6" spans="1:49" ht="15" customHeight="1">
      <c r="A6" s="360" t="s">
        <v>0</v>
      </c>
      <c r="B6" s="360" t="s">
        <v>141</v>
      </c>
      <c r="C6" s="360" t="s">
        <v>142</v>
      </c>
      <c r="D6" s="360" t="s">
        <v>143</v>
      </c>
      <c r="E6" s="351">
        <v>1</v>
      </c>
      <c r="F6" s="351">
        <v>2</v>
      </c>
      <c r="G6" s="351">
        <v>3</v>
      </c>
      <c r="H6" s="351">
        <v>4</v>
      </c>
      <c r="I6" s="351">
        <v>5</v>
      </c>
      <c r="J6" s="351">
        <v>6</v>
      </c>
      <c r="K6" s="351">
        <v>7</v>
      </c>
      <c r="L6" s="351">
        <v>8</v>
      </c>
      <c r="M6" s="351">
        <v>9</v>
      </c>
      <c r="N6" s="351">
        <v>10</v>
      </c>
      <c r="O6" s="351">
        <v>11</v>
      </c>
      <c r="P6" s="351">
        <v>12</v>
      </c>
      <c r="Q6" s="351">
        <v>13</v>
      </c>
      <c r="R6" s="351">
        <v>14</v>
      </c>
      <c r="S6" s="351">
        <v>15</v>
      </c>
      <c r="T6" s="351">
        <v>16</v>
      </c>
      <c r="U6" s="351">
        <v>17</v>
      </c>
      <c r="V6" s="351">
        <v>18</v>
      </c>
      <c r="W6" s="351">
        <v>19</v>
      </c>
      <c r="X6" s="351">
        <v>20</v>
      </c>
      <c r="Y6" s="351">
        <v>21</v>
      </c>
      <c r="Z6" s="351">
        <v>22</v>
      </c>
      <c r="AA6" s="351">
        <v>23</v>
      </c>
      <c r="AB6" s="351">
        <v>24</v>
      </c>
      <c r="AC6" s="351">
        <v>25</v>
      </c>
      <c r="AD6" s="351">
        <v>26</v>
      </c>
      <c r="AE6" s="351">
        <v>27</v>
      </c>
      <c r="AF6" s="351">
        <v>28</v>
      </c>
      <c r="AG6" s="351">
        <v>29</v>
      </c>
      <c r="AH6" s="351">
        <v>30</v>
      </c>
      <c r="AI6" s="362" t="s">
        <v>144</v>
      </c>
      <c r="AJ6" s="363"/>
      <c r="AK6" s="362" t="s">
        <v>145</v>
      </c>
      <c r="AL6" s="363"/>
      <c r="AM6" s="362" t="s">
        <v>146</v>
      </c>
      <c r="AN6" s="363"/>
      <c r="AO6" s="362" t="s">
        <v>147</v>
      </c>
      <c r="AP6" s="363"/>
      <c r="AQ6" s="362" t="s">
        <v>148</v>
      </c>
      <c r="AR6" s="367"/>
      <c r="AS6" s="363"/>
      <c r="AT6" s="360" t="s">
        <v>149</v>
      </c>
      <c r="AU6" s="362" t="s">
        <v>150</v>
      </c>
      <c r="AV6" s="367"/>
      <c r="AW6" s="363"/>
    </row>
    <row r="7" spans="1:49" ht="15" customHeight="1">
      <c r="A7" s="361"/>
      <c r="B7" s="361"/>
      <c r="C7" s="361"/>
      <c r="D7" s="361"/>
      <c r="E7" s="351" t="s">
        <v>151</v>
      </c>
      <c r="F7" s="351" t="s">
        <v>152</v>
      </c>
      <c r="G7" s="351" t="s">
        <v>153</v>
      </c>
      <c r="H7" s="351" t="s">
        <v>154</v>
      </c>
      <c r="I7" s="351" t="s">
        <v>155</v>
      </c>
      <c r="J7" s="351" t="s">
        <v>156</v>
      </c>
      <c r="K7" s="351" t="s">
        <v>157</v>
      </c>
      <c r="L7" s="351" t="s">
        <v>151</v>
      </c>
      <c r="M7" s="351" t="s">
        <v>152</v>
      </c>
      <c r="N7" s="351" t="s">
        <v>153</v>
      </c>
      <c r="O7" s="351" t="s">
        <v>154</v>
      </c>
      <c r="P7" s="351" t="s">
        <v>155</v>
      </c>
      <c r="Q7" s="351" t="s">
        <v>156</v>
      </c>
      <c r="R7" s="351" t="s">
        <v>157</v>
      </c>
      <c r="S7" s="351" t="s">
        <v>151</v>
      </c>
      <c r="T7" s="351" t="s">
        <v>152</v>
      </c>
      <c r="U7" s="351" t="s">
        <v>153</v>
      </c>
      <c r="V7" s="351" t="s">
        <v>154</v>
      </c>
      <c r="W7" s="351" t="s">
        <v>155</v>
      </c>
      <c r="X7" s="351" t="s">
        <v>156</v>
      </c>
      <c r="Y7" s="351" t="s">
        <v>157</v>
      </c>
      <c r="Z7" s="351" t="s">
        <v>151</v>
      </c>
      <c r="AA7" s="351" t="s">
        <v>152</v>
      </c>
      <c r="AB7" s="351" t="s">
        <v>153</v>
      </c>
      <c r="AC7" s="351" t="s">
        <v>154</v>
      </c>
      <c r="AD7" s="351" t="s">
        <v>155</v>
      </c>
      <c r="AE7" s="351" t="s">
        <v>156</v>
      </c>
      <c r="AF7" s="351" t="s">
        <v>157</v>
      </c>
      <c r="AG7" s="351" t="s">
        <v>151</v>
      </c>
      <c r="AH7" s="351" t="s">
        <v>152</v>
      </c>
      <c r="AI7" s="352" t="s">
        <v>158</v>
      </c>
      <c r="AJ7" s="352" t="s">
        <v>159</v>
      </c>
      <c r="AK7" s="352" t="s">
        <v>158</v>
      </c>
      <c r="AL7" s="352" t="s">
        <v>159</v>
      </c>
      <c r="AM7" s="352" t="s">
        <v>160</v>
      </c>
      <c r="AN7" s="352" t="s">
        <v>161</v>
      </c>
      <c r="AO7" s="352" t="s">
        <v>160</v>
      </c>
      <c r="AP7" s="352" t="s">
        <v>161</v>
      </c>
      <c r="AQ7" s="352" t="s">
        <v>162</v>
      </c>
      <c r="AR7" s="352" t="s">
        <v>163</v>
      </c>
      <c r="AS7" s="352" t="s">
        <v>164</v>
      </c>
      <c r="AT7" s="361"/>
      <c r="AU7" s="352" t="s">
        <v>165</v>
      </c>
      <c r="AV7" s="352" t="s">
        <v>166</v>
      </c>
      <c r="AW7" s="352" t="s">
        <v>167</v>
      </c>
    </row>
    <row r="8" spans="1:49">
      <c r="A8" s="368" t="s">
        <v>168</v>
      </c>
      <c r="B8" s="369"/>
      <c r="C8" s="369"/>
      <c r="D8" s="369"/>
      <c r="E8" s="369"/>
      <c r="F8" s="369"/>
      <c r="G8" s="369"/>
      <c r="H8" s="369"/>
      <c r="I8" s="369"/>
      <c r="J8" s="369"/>
      <c r="K8" s="369"/>
      <c r="L8" s="369"/>
      <c r="M8" s="369"/>
      <c r="N8" s="369"/>
      <c r="O8" s="369"/>
      <c r="P8" s="369"/>
      <c r="Q8" s="369"/>
      <c r="R8" s="369"/>
      <c r="S8" s="369"/>
      <c r="T8" s="369"/>
      <c r="U8" s="369"/>
      <c r="V8" s="369"/>
      <c r="W8" s="369"/>
      <c r="X8" s="369"/>
      <c r="Y8" s="369"/>
      <c r="Z8" s="369"/>
      <c r="AA8" s="369"/>
      <c r="AB8" s="369"/>
      <c r="AC8" s="369"/>
      <c r="AD8" s="369"/>
      <c r="AE8" s="369"/>
      <c r="AF8" s="369"/>
      <c r="AG8" s="369"/>
      <c r="AH8" s="369"/>
      <c r="AI8" s="369"/>
      <c r="AJ8" s="369"/>
      <c r="AK8" s="369"/>
      <c r="AL8" s="369"/>
      <c r="AM8" s="369"/>
      <c r="AN8" s="369"/>
      <c r="AO8" s="369"/>
      <c r="AP8" s="369"/>
      <c r="AQ8" s="369"/>
      <c r="AR8" s="369"/>
      <c r="AS8" s="369"/>
      <c r="AT8" s="369"/>
      <c r="AU8" s="369"/>
      <c r="AV8" s="369"/>
      <c r="AW8" s="370"/>
    </row>
    <row r="9" spans="1:49">
      <c r="A9" s="364">
        <v>1</v>
      </c>
      <c r="B9" s="364" t="s">
        <v>77</v>
      </c>
      <c r="C9" s="364" t="s">
        <v>169</v>
      </c>
      <c r="D9" s="353" t="s">
        <v>170</v>
      </c>
      <c r="E9" s="353" t="s">
        <v>171</v>
      </c>
      <c r="F9" s="353" t="s">
        <v>172</v>
      </c>
      <c r="G9" s="366" t="s">
        <v>173</v>
      </c>
      <c r="H9" s="353" t="s">
        <v>174</v>
      </c>
      <c r="I9" s="353" t="s">
        <v>172</v>
      </c>
      <c r="J9" s="353" t="s">
        <v>175</v>
      </c>
      <c r="K9" s="353" t="s">
        <v>176</v>
      </c>
      <c r="L9" s="353" t="s">
        <v>177</v>
      </c>
      <c r="M9" s="353" t="s">
        <v>172</v>
      </c>
      <c r="N9" s="366" t="s">
        <v>173</v>
      </c>
      <c r="O9" s="353" t="s">
        <v>178</v>
      </c>
      <c r="P9" s="353" t="s">
        <v>176</v>
      </c>
      <c r="Q9" s="353" t="s">
        <v>179</v>
      </c>
      <c r="R9" s="353" t="s">
        <v>180</v>
      </c>
      <c r="S9" s="353" t="s">
        <v>181</v>
      </c>
      <c r="T9" s="353" t="s">
        <v>182</v>
      </c>
      <c r="U9" s="353" t="s">
        <v>183</v>
      </c>
      <c r="V9" s="353" t="s">
        <v>180</v>
      </c>
      <c r="W9" s="366" t="s">
        <v>173</v>
      </c>
      <c r="X9" s="353" t="s">
        <v>184</v>
      </c>
      <c r="Y9" s="353" t="s">
        <v>182</v>
      </c>
      <c r="Z9" s="353" t="s">
        <v>185</v>
      </c>
      <c r="AA9" s="353" t="s">
        <v>186</v>
      </c>
      <c r="AB9" s="353" t="s">
        <v>180</v>
      </c>
      <c r="AC9" s="353" t="s">
        <v>187</v>
      </c>
      <c r="AD9" s="353" t="s">
        <v>188</v>
      </c>
      <c r="AE9" s="353" t="s">
        <v>189</v>
      </c>
      <c r="AF9" s="353" t="s">
        <v>190</v>
      </c>
      <c r="AG9" s="366" t="s">
        <v>173</v>
      </c>
      <c r="AH9" s="366" t="s">
        <v>173</v>
      </c>
      <c r="AI9" s="364">
        <v>14.16</v>
      </c>
      <c r="AJ9" s="364">
        <v>0</v>
      </c>
      <c r="AK9" s="364">
        <v>113.11</v>
      </c>
      <c r="AL9" s="364">
        <v>0</v>
      </c>
      <c r="AM9" s="364">
        <v>17</v>
      </c>
      <c r="AN9" s="364">
        <v>892</v>
      </c>
      <c r="AO9" s="364">
        <v>0</v>
      </c>
      <c r="AP9" s="364">
        <v>0</v>
      </c>
      <c r="AQ9" s="364">
        <v>67.64</v>
      </c>
      <c r="AR9" s="364">
        <v>0</v>
      </c>
      <c r="AS9" s="364">
        <v>0</v>
      </c>
      <c r="AT9" s="364">
        <v>5</v>
      </c>
      <c r="AU9" s="371">
        <v>0</v>
      </c>
      <c r="AV9" s="371">
        <v>0</v>
      </c>
      <c r="AW9" s="371">
        <v>0</v>
      </c>
    </row>
    <row r="10" spans="1:49">
      <c r="A10" s="365"/>
      <c r="B10" s="365"/>
      <c r="C10" s="365"/>
      <c r="D10" s="354" t="s">
        <v>191</v>
      </c>
      <c r="E10" s="354" t="s">
        <v>192</v>
      </c>
      <c r="F10" s="354"/>
      <c r="G10" s="365"/>
      <c r="H10" s="354" t="s">
        <v>194</v>
      </c>
      <c r="I10" s="354" t="s">
        <v>195</v>
      </c>
      <c r="J10" s="354" t="s">
        <v>196</v>
      </c>
      <c r="K10" s="354" t="s">
        <v>195</v>
      </c>
      <c r="L10" s="354" t="s">
        <v>197</v>
      </c>
      <c r="M10" s="354" t="s">
        <v>195</v>
      </c>
      <c r="N10" s="365"/>
      <c r="O10" s="354" t="s">
        <v>192</v>
      </c>
      <c r="P10" s="354" t="s">
        <v>194</v>
      </c>
      <c r="Q10" s="354" t="s">
        <v>198</v>
      </c>
      <c r="R10" s="354" t="s">
        <v>194</v>
      </c>
      <c r="S10" s="354" t="s">
        <v>194</v>
      </c>
      <c r="T10" s="354" t="s">
        <v>194</v>
      </c>
      <c r="U10" s="354" t="s">
        <v>194</v>
      </c>
      <c r="V10" s="354" t="s">
        <v>192</v>
      </c>
      <c r="W10" s="365"/>
      <c r="X10" s="354" t="s">
        <v>197</v>
      </c>
      <c r="Y10" s="354" t="s">
        <v>199</v>
      </c>
      <c r="Z10" s="354" t="s">
        <v>192</v>
      </c>
      <c r="AA10" s="354" t="s">
        <v>197</v>
      </c>
      <c r="AB10" s="354" t="s">
        <v>200</v>
      </c>
      <c r="AC10" s="354" t="s">
        <v>192</v>
      </c>
      <c r="AD10" s="354" t="s">
        <v>194</v>
      </c>
      <c r="AE10" s="354" t="s">
        <v>201</v>
      </c>
      <c r="AF10" s="354" t="s">
        <v>202</v>
      </c>
      <c r="AG10" s="365"/>
      <c r="AH10" s="365"/>
      <c r="AI10" s="365"/>
      <c r="AJ10" s="365"/>
      <c r="AK10" s="365"/>
      <c r="AL10" s="365"/>
      <c r="AM10" s="365"/>
      <c r="AN10" s="365"/>
      <c r="AO10" s="365"/>
      <c r="AP10" s="365"/>
      <c r="AQ10" s="365"/>
      <c r="AR10" s="365"/>
      <c r="AS10" s="365"/>
      <c r="AT10" s="365"/>
      <c r="AU10" s="372"/>
      <c r="AV10" s="372"/>
      <c r="AW10" s="372"/>
    </row>
    <row r="11" spans="1:49">
      <c r="A11" s="364">
        <v>2</v>
      </c>
      <c r="B11" s="364" t="s">
        <v>119</v>
      </c>
      <c r="C11" s="364" t="s">
        <v>203</v>
      </c>
      <c r="D11" s="353" t="s">
        <v>170</v>
      </c>
      <c r="E11" s="366" t="s">
        <v>173</v>
      </c>
      <c r="F11" s="353" t="s">
        <v>204</v>
      </c>
      <c r="G11" s="353" t="s">
        <v>205</v>
      </c>
      <c r="H11" s="353" t="s">
        <v>182</v>
      </c>
      <c r="I11" s="353" t="s">
        <v>206</v>
      </c>
      <c r="J11" s="353" t="s">
        <v>207</v>
      </c>
      <c r="K11" s="353" t="s">
        <v>208</v>
      </c>
      <c r="L11" s="353" t="s">
        <v>209</v>
      </c>
      <c r="M11" s="353" t="s">
        <v>210</v>
      </c>
      <c r="N11" s="353" t="s">
        <v>211</v>
      </c>
      <c r="O11" s="353" t="s">
        <v>212</v>
      </c>
      <c r="P11" s="366" t="s">
        <v>173</v>
      </c>
      <c r="Q11" s="353" t="s">
        <v>213</v>
      </c>
      <c r="R11" s="353" t="s">
        <v>188</v>
      </c>
      <c r="S11" s="366" t="s">
        <v>173</v>
      </c>
      <c r="T11" s="353" t="s">
        <v>214</v>
      </c>
      <c r="U11" s="353" t="s">
        <v>215</v>
      </c>
      <c r="V11" s="353" t="s">
        <v>174</v>
      </c>
      <c r="W11" s="353" t="s">
        <v>216</v>
      </c>
      <c r="X11" s="353" t="s">
        <v>217</v>
      </c>
      <c r="Y11" s="353" t="s">
        <v>218</v>
      </c>
      <c r="Z11" s="353" t="s">
        <v>182</v>
      </c>
      <c r="AA11" s="353" t="s">
        <v>219</v>
      </c>
      <c r="AB11" s="366" t="s">
        <v>173</v>
      </c>
      <c r="AC11" s="353" t="s">
        <v>220</v>
      </c>
      <c r="AD11" s="366" t="s">
        <v>173</v>
      </c>
      <c r="AE11" s="353" t="s">
        <v>221</v>
      </c>
      <c r="AF11" s="353" t="s">
        <v>213</v>
      </c>
      <c r="AG11" s="353" t="s">
        <v>222</v>
      </c>
      <c r="AH11" s="353" t="s">
        <v>190</v>
      </c>
      <c r="AI11" s="364">
        <v>8.74</v>
      </c>
      <c r="AJ11" s="364">
        <v>0</v>
      </c>
      <c r="AK11" s="364">
        <v>69.990009999999998</v>
      </c>
      <c r="AL11" s="364">
        <v>0</v>
      </c>
      <c r="AM11" s="364">
        <v>17</v>
      </c>
      <c r="AN11" s="364">
        <v>2132</v>
      </c>
      <c r="AO11" s="364">
        <v>7</v>
      </c>
      <c r="AP11" s="364">
        <v>276</v>
      </c>
      <c r="AQ11" s="364">
        <v>64.06</v>
      </c>
      <c r="AR11" s="364">
        <v>0</v>
      </c>
      <c r="AS11" s="364">
        <v>0</v>
      </c>
      <c r="AT11" s="364">
        <v>5</v>
      </c>
      <c r="AU11" s="371">
        <v>0</v>
      </c>
      <c r="AV11" s="371">
        <v>0</v>
      </c>
      <c r="AW11" s="371">
        <v>0</v>
      </c>
    </row>
    <row r="12" spans="1:49">
      <c r="A12" s="365"/>
      <c r="B12" s="365"/>
      <c r="C12" s="365"/>
      <c r="D12" s="354" t="s">
        <v>191</v>
      </c>
      <c r="E12" s="365"/>
      <c r="F12" s="354" t="s">
        <v>223</v>
      </c>
      <c r="G12" s="354" t="s">
        <v>224</v>
      </c>
      <c r="H12" s="354" t="s">
        <v>225</v>
      </c>
      <c r="I12" s="354" t="s">
        <v>223</v>
      </c>
      <c r="J12" s="354" t="s">
        <v>226</v>
      </c>
      <c r="K12" s="354" t="s">
        <v>197</v>
      </c>
      <c r="L12" s="354" t="s">
        <v>197</v>
      </c>
      <c r="M12" s="354" t="s">
        <v>196</v>
      </c>
      <c r="N12" s="354" t="s">
        <v>143</v>
      </c>
      <c r="O12" s="354" t="s">
        <v>197</v>
      </c>
      <c r="P12" s="365"/>
      <c r="Q12" s="354" t="s">
        <v>197</v>
      </c>
      <c r="R12" s="354" t="s">
        <v>227</v>
      </c>
      <c r="S12" s="365"/>
      <c r="T12" s="354" t="s">
        <v>196</v>
      </c>
      <c r="U12" s="354" t="s">
        <v>224</v>
      </c>
      <c r="V12" s="354" t="s">
        <v>228</v>
      </c>
      <c r="W12" s="354" t="s">
        <v>197</v>
      </c>
      <c r="X12" s="354" t="s">
        <v>229</v>
      </c>
      <c r="Y12" s="354" t="s">
        <v>197</v>
      </c>
      <c r="Z12" s="354" t="s">
        <v>230</v>
      </c>
      <c r="AA12" s="354" t="s">
        <v>231</v>
      </c>
      <c r="AB12" s="365"/>
      <c r="AC12" s="354" t="s">
        <v>232</v>
      </c>
      <c r="AD12" s="365"/>
      <c r="AE12" s="354" t="s">
        <v>233</v>
      </c>
      <c r="AF12" s="354" t="s">
        <v>234</v>
      </c>
      <c r="AG12" s="354" t="s">
        <v>226</v>
      </c>
      <c r="AH12" s="354" t="s">
        <v>235</v>
      </c>
      <c r="AI12" s="365"/>
      <c r="AJ12" s="365"/>
      <c r="AK12" s="365"/>
      <c r="AL12" s="365"/>
      <c r="AM12" s="365"/>
      <c r="AN12" s="365"/>
      <c r="AO12" s="365"/>
      <c r="AP12" s="365"/>
      <c r="AQ12" s="365"/>
      <c r="AR12" s="365"/>
      <c r="AS12" s="365"/>
      <c r="AT12" s="365"/>
      <c r="AU12" s="372"/>
      <c r="AV12" s="372"/>
      <c r="AW12" s="372"/>
    </row>
    <row r="13" spans="1:49">
      <c r="A13" s="364">
        <v>3</v>
      </c>
      <c r="B13" s="364" t="s">
        <v>106</v>
      </c>
      <c r="C13" s="364" t="s">
        <v>236</v>
      </c>
      <c r="D13" s="353" t="s">
        <v>170</v>
      </c>
      <c r="E13" s="353" t="s">
        <v>237</v>
      </c>
      <c r="F13" s="353" t="s">
        <v>238</v>
      </c>
      <c r="G13" s="353" t="s">
        <v>202</v>
      </c>
      <c r="H13" s="366" t="s">
        <v>173</v>
      </c>
      <c r="I13" s="353" t="s">
        <v>239</v>
      </c>
      <c r="J13" s="353" t="s">
        <v>239</v>
      </c>
      <c r="K13" s="353" t="s">
        <v>219</v>
      </c>
      <c r="L13" s="353" t="s">
        <v>219</v>
      </c>
      <c r="M13" s="366" t="s">
        <v>173</v>
      </c>
      <c r="N13" s="366" t="s">
        <v>173</v>
      </c>
      <c r="O13" s="366" t="s">
        <v>173</v>
      </c>
      <c r="P13" s="353" t="s">
        <v>240</v>
      </c>
      <c r="Q13" s="353" t="s">
        <v>217</v>
      </c>
      <c r="R13" s="353" t="s">
        <v>241</v>
      </c>
      <c r="S13" s="353" t="s">
        <v>242</v>
      </c>
      <c r="T13" s="353" t="s">
        <v>237</v>
      </c>
      <c r="U13" s="353" t="s">
        <v>243</v>
      </c>
      <c r="V13" s="366" t="s">
        <v>173</v>
      </c>
      <c r="W13" s="353" t="s">
        <v>244</v>
      </c>
      <c r="X13" s="353" t="s">
        <v>217</v>
      </c>
      <c r="Y13" s="353" t="s">
        <v>245</v>
      </c>
      <c r="Z13" s="353" t="s">
        <v>245</v>
      </c>
      <c r="AA13" s="353" t="s">
        <v>219</v>
      </c>
      <c r="AB13" s="353" t="s">
        <v>246</v>
      </c>
      <c r="AC13" s="353" t="s">
        <v>238</v>
      </c>
      <c r="AD13" s="353" t="s">
        <v>210</v>
      </c>
      <c r="AE13" s="353" t="s">
        <v>247</v>
      </c>
      <c r="AF13" s="353" t="s">
        <v>243</v>
      </c>
      <c r="AG13" s="353" t="s">
        <v>237</v>
      </c>
      <c r="AH13" s="353" t="s">
        <v>237</v>
      </c>
      <c r="AI13" s="364">
        <v>8.57</v>
      </c>
      <c r="AJ13" s="364">
        <v>0</v>
      </c>
      <c r="AK13" s="364">
        <v>68.56</v>
      </c>
      <c r="AL13" s="364">
        <v>0</v>
      </c>
      <c r="AM13" s="364">
        <v>16</v>
      </c>
      <c r="AN13" s="364">
        <v>1410</v>
      </c>
      <c r="AO13" s="364">
        <v>0</v>
      </c>
      <c r="AP13" s="364">
        <v>0</v>
      </c>
      <c r="AQ13" s="364">
        <v>75.599999999999994</v>
      </c>
      <c r="AR13" s="364">
        <v>0</v>
      </c>
      <c r="AS13" s="364">
        <v>0</v>
      </c>
      <c r="AT13" s="364">
        <v>5</v>
      </c>
      <c r="AU13" s="371">
        <v>0</v>
      </c>
      <c r="AV13" s="371">
        <v>0</v>
      </c>
      <c r="AW13" s="371">
        <v>0</v>
      </c>
    </row>
    <row r="14" spans="1:49">
      <c r="A14" s="365"/>
      <c r="B14" s="365"/>
      <c r="C14" s="365"/>
      <c r="D14" s="354" t="s">
        <v>191</v>
      </c>
      <c r="E14" s="354" t="s">
        <v>196</v>
      </c>
      <c r="F14" s="354" t="s">
        <v>223</v>
      </c>
      <c r="G14" s="354" t="s">
        <v>143</v>
      </c>
      <c r="H14" s="365"/>
      <c r="I14" s="354" t="s">
        <v>248</v>
      </c>
      <c r="J14" s="354" t="s">
        <v>249</v>
      </c>
      <c r="K14" s="354" t="s">
        <v>197</v>
      </c>
      <c r="L14" s="354" t="s">
        <v>192</v>
      </c>
      <c r="M14" s="365"/>
      <c r="N14" s="365"/>
      <c r="O14" s="365"/>
      <c r="P14" s="354" t="s">
        <v>250</v>
      </c>
      <c r="Q14" s="354" t="s">
        <v>194</v>
      </c>
      <c r="R14" s="354" t="s">
        <v>251</v>
      </c>
      <c r="S14" s="354" t="s">
        <v>194</v>
      </c>
      <c r="T14" s="354" t="s">
        <v>197</v>
      </c>
      <c r="U14" s="354" t="s">
        <v>194</v>
      </c>
      <c r="V14" s="365"/>
      <c r="W14" s="354" t="s">
        <v>197</v>
      </c>
      <c r="X14" s="354" t="s">
        <v>192</v>
      </c>
      <c r="Y14" s="354" t="s">
        <v>197</v>
      </c>
      <c r="Z14" s="354" t="s">
        <v>197</v>
      </c>
      <c r="AA14" s="354" t="s">
        <v>202</v>
      </c>
      <c r="AB14" s="354" t="s">
        <v>252</v>
      </c>
      <c r="AC14" s="354" t="s">
        <v>253</v>
      </c>
      <c r="AD14" s="354" t="s">
        <v>194</v>
      </c>
      <c r="AE14" s="354" t="s">
        <v>223</v>
      </c>
      <c r="AF14" s="354" t="s">
        <v>197</v>
      </c>
      <c r="AG14" s="354" t="s">
        <v>233</v>
      </c>
      <c r="AH14" s="354" t="s">
        <v>249</v>
      </c>
      <c r="AI14" s="365"/>
      <c r="AJ14" s="365"/>
      <c r="AK14" s="365"/>
      <c r="AL14" s="365"/>
      <c r="AM14" s="365"/>
      <c r="AN14" s="365"/>
      <c r="AO14" s="365"/>
      <c r="AP14" s="365"/>
      <c r="AQ14" s="365"/>
      <c r="AR14" s="365"/>
      <c r="AS14" s="365"/>
      <c r="AT14" s="365"/>
      <c r="AU14" s="372"/>
      <c r="AV14" s="372"/>
      <c r="AW14" s="372"/>
    </row>
    <row r="15" spans="1:49">
      <c r="A15" s="364">
        <v>4</v>
      </c>
      <c r="B15" s="364" t="s">
        <v>122</v>
      </c>
      <c r="C15" s="364" t="s">
        <v>254</v>
      </c>
      <c r="D15" s="353" t="s">
        <v>170</v>
      </c>
      <c r="E15" s="353" t="s">
        <v>174</v>
      </c>
      <c r="F15" s="366" t="s">
        <v>173</v>
      </c>
      <c r="G15" s="353" t="s">
        <v>255</v>
      </c>
      <c r="H15" s="353" t="s">
        <v>256</v>
      </c>
      <c r="I15" s="353" t="s">
        <v>257</v>
      </c>
      <c r="J15" s="353" t="s">
        <v>222</v>
      </c>
      <c r="K15" s="353" t="s">
        <v>258</v>
      </c>
      <c r="L15" s="353" t="s">
        <v>257</v>
      </c>
      <c r="M15" s="366" t="s">
        <v>173</v>
      </c>
      <c r="N15" s="353" t="s">
        <v>259</v>
      </c>
      <c r="O15" s="353" t="s">
        <v>260</v>
      </c>
      <c r="P15" s="353" t="s">
        <v>261</v>
      </c>
      <c r="Q15" s="353" t="s">
        <v>262</v>
      </c>
      <c r="R15" s="353" t="s">
        <v>263</v>
      </c>
      <c r="S15" s="353" t="s">
        <v>264</v>
      </c>
      <c r="T15" s="353" t="s">
        <v>265</v>
      </c>
      <c r="U15" s="366" t="s">
        <v>173</v>
      </c>
      <c r="V15" s="353" t="s">
        <v>266</v>
      </c>
      <c r="W15" s="353" t="s">
        <v>265</v>
      </c>
      <c r="X15" s="353" t="s">
        <v>267</v>
      </c>
      <c r="Y15" s="353" t="s">
        <v>263</v>
      </c>
      <c r="Z15" s="366" t="s">
        <v>173</v>
      </c>
      <c r="AA15" s="366" t="s">
        <v>173</v>
      </c>
      <c r="AB15" s="353" t="s">
        <v>268</v>
      </c>
      <c r="AC15" s="353" t="s">
        <v>269</v>
      </c>
      <c r="AD15" s="353" t="s">
        <v>263</v>
      </c>
      <c r="AE15" s="353" t="s">
        <v>270</v>
      </c>
      <c r="AF15" s="353" t="s">
        <v>271</v>
      </c>
      <c r="AG15" s="353" t="s">
        <v>261</v>
      </c>
      <c r="AH15" s="353" t="s">
        <v>272</v>
      </c>
      <c r="AI15" s="364">
        <v>11.91</v>
      </c>
      <c r="AJ15" s="364">
        <v>0</v>
      </c>
      <c r="AK15" s="364">
        <v>95.26</v>
      </c>
      <c r="AL15" s="364">
        <v>0</v>
      </c>
      <c r="AM15" s="364">
        <v>15</v>
      </c>
      <c r="AN15" s="364">
        <v>1004</v>
      </c>
      <c r="AO15" s="364">
        <v>0</v>
      </c>
      <c r="AP15" s="364">
        <v>0</v>
      </c>
      <c r="AQ15" s="364">
        <v>76.69</v>
      </c>
      <c r="AR15" s="364">
        <v>0</v>
      </c>
      <c r="AS15" s="364">
        <v>0</v>
      </c>
      <c r="AT15" s="364">
        <v>5</v>
      </c>
      <c r="AU15" s="371">
        <v>0</v>
      </c>
      <c r="AV15" s="371">
        <v>0</v>
      </c>
      <c r="AW15" s="371">
        <v>0</v>
      </c>
    </row>
    <row r="16" spans="1:49">
      <c r="A16" s="365"/>
      <c r="B16" s="365"/>
      <c r="C16" s="365"/>
      <c r="D16" s="354" t="s">
        <v>191</v>
      </c>
      <c r="E16" s="354" t="s">
        <v>192</v>
      </c>
      <c r="F16" s="365"/>
      <c r="G16" s="354" t="s">
        <v>273</v>
      </c>
      <c r="H16" s="354" t="s">
        <v>196</v>
      </c>
      <c r="I16" s="354" t="s">
        <v>195</v>
      </c>
      <c r="J16" s="354" t="s">
        <v>195</v>
      </c>
      <c r="K16" s="354" t="s">
        <v>197</v>
      </c>
      <c r="L16" s="354" t="s">
        <v>194</v>
      </c>
      <c r="M16" s="365"/>
      <c r="N16" s="354" t="s">
        <v>197</v>
      </c>
      <c r="O16" s="354" t="s">
        <v>192</v>
      </c>
      <c r="P16" s="354" t="s">
        <v>274</v>
      </c>
      <c r="Q16" s="354" t="s">
        <v>196</v>
      </c>
      <c r="R16" s="354" t="s">
        <v>275</v>
      </c>
      <c r="S16" s="354" t="s">
        <v>197</v>
      </c>
      <c r="T16" s="354" t="s">
        <v>202</v>
      </c>
      <c r="U16" s="365"/>
      <c r="V16" s="354" t="s">
        <v>197</v>
      </c>
      <c r="W16" s="354" t="s">
        <v>195</v>
      </c>
      <c r="X16" s="354" t="s">
        <v>197</v>
      </c>
      <c r="Y16" s="354" t="s">
        <v>192</v>
      </c>
      <c r="Z16" s="365"/>
      <c r="AA16" s="365"/>
      <c r="AB16" s="354" t="s">
        <v>196</v>
      </c>
      <c r="AC16" s="354" t="s">
        <v>253</v>
      </c>
      <c r="AD16" s="354" t="s">
        <v>194</v>
      </c>
      <c r="AE16" s="354" t="s">
        <v>195</v>
      </c>
      <c r="AF16" s="354" t="s">
        <v>249</v>
      </c>
      <c r="AG16" s="354" t="s">
        <v>195</v>
      </c>
      <c r="AH16" s="354" t="s">
        <v>195</v>
      </c>
      <c r="AI16" s="365"/>
      <c r="AJ16" s="365"/>
      <c r="AK16" s="365"/>
      <c r="AL16" s="365"/>
      <c r="AM16" s="365"/>
      <c r="AN16" s="365"/>
      <c r="AO16" s="365"/>
      <c r="AP16" s="365"/>
      <c r="AQ16" s="365"/>
      <c r="AR16" s="365"/>
      <c r="AS16" s="365"/>
      <c r="AT16" s="365"/>
      <c r="AU16" s="372"/>
      <c r="AV16" s="372"/>
      <c r="AW16" s="372"/>
    </row>
    <row r="17" spans="1:49">
      <c r="A17" s="364">
        <v>5</v>
      </c>
      <c r="B17" s="364" t="s">
        <v>124</v>
      </c>
      <c r="C17" s="364" t="s">
        <v>276</v>
      </c>
      <c r="D17" s="353" t="s">
        <v>170</v>
      </c>
      <c r="E17" s="353" t="s">
        <v>237</v>
      </c>
      <c r="F17" s="353" t="s">
        <v>188</v>
      </c>
      <c r="G17" s="353" t="s">
        <v>277</v>
      </c>
      <c r="H17" s="353" t="s">
        <v>278</v>
      </c>
      <c r="I17" s="353" t="s">
        <v>279</v>
      </c>
      <c r="J17" s="353" t="s">
        <v>247</v>
      </c>
      <c r="K17" s="353" t="s">
        <v>280</v>
      </c>
      <c r="L17" s="366" t="s">
        <v>173</v>
      </c>
      <c r="M17" s="353" t="s">
        <v>281</v>
      </c>
      <c r="N17" s="353" t="s">
        <v>272</v>
      </c>
      <c r="O17" s="353" t="s">
        <v>282</v>
      </c>
      <c r="P17" s="353" t="s">
        <v>207</v>
      </c>
      <c r="Q17" s="353" t="s">
        <v>210</v>
      </c>
      <c r="R17" s="353" t="s">
        <v>283</v>
      </c>
      <c r="S17" s="353" t="s">
        <v>246</v>
      </c>
      <c r="T17" s="366" t="s">
        <v>173</v>
      </c>
      <c r="U17" s="353" t="s">
        <v>284</v>
      </c>
      <c r="V17" s="353" t="s">
        <v>239</v>
      </c>
      <c r="W17" s="353" t="s">
        <v>279</v>
      </c>
      <c r="X17" s="353" t="s">
        <v>245</v>
      </c>
      <c r="Y17" s="353" t="s">
        <v>213</v>
      </c>
      <c r="Z17" s="366" t="s">
        <v>173</v>
      </c>
      <c r="AA17" s="353" t="s">
        <v>278</v>
      </c>
      <c r="AB17" s="353" t="s">
        <v>210</v>
      </c>
      <c r="AC17" s="353" t="s">
        <v>210</v>
      </c>
      <c r="AD17" s="353" t="s">
        <v>278</v>
      </c>
      <c r="AE17" s="353" t="s">
        <v>192</v>
      </c>
      <c r="AF17" s="366" t="s">
        <v>285</v>
      </c>
      <c r="AG17" s="366" t="s">
        <v>173</v>
      </c>
      <c r="AH17" s="353" t="s">
        <v>238</v>
      </c>
      <c r="AI17" s="364">
        <v>9.8899989999999995</v>
      </c>
      <c r="AJ17" s="364">
        <v>0</v>
      </c>
      <c r="AK17" s="364">
        <v>79.11</v>
      </c>
      <c r="AL17" s="364">
        <v>0</v>
      </c>
      <c r="AM17" s="364">
        <v>18</v>
      </c>
      <c r="AN17" s="364">
        <v>1515</v>
      </c>
      <c r="AO17" s="364">
        <v>0</v>
      </c>
      <c r="AP17" s="364">
        <v>0</v>
      </c>
      <c r="AQ17" s="364">
        <v>49.64</v>
      </c>
      <c r="AR17" s="364">
        <v>0</v>
      </c>
      <c r="AS17" s="364">
        <v>0</v>
      </c>
      <c r="AT17" s="364">
        <v>4</v>
      </c>
      <c r="AU17" s="371">
        <v>0</v>
      </c>
      <c r="AV17" s="371">
        <v>0</v>
      </c>
      <c r="AW17" s="371">
        <v>0</v>
      </c>
    </row>
    <row r="18" spans="1:49">
      <c r="A18" s="365"/>
      <c r="B18" s="365"/>
      <c r="C18" s="365"/>
      <c r="D18" s="354" t="s">
        <v>191</v>
      </c>
      <c r="E18" s="354" t="s">
        <v>196</v>
      </c>
      <c r="F18" s="354" t="s">
        <v>193</v>
      </c>
      <c r="G18" s="354" t="s">
        <v>143</v>
      </c>
      <c r="H18" s="354" t="s">
        <v>196</v>
      </c>
      <c r="I18" s="354" t="s">
        <v>195</v>
      </c>
      <c r="J18" s="354" t="s">
        <v>223</v>
      </c>
      <c r="K18" s="354" t="s">
        <v>195</v>
      </c>
      <c r="L18" s="365"/>
      <c r="M18" s="354" t="s">
        <v>197</v>
      </c>
      <c r="N18" s="354" t="s">
        <v>197</v>
      </c>
      <c r="O18" s="354" t="s">
        <v>196</v>
      </c>
      <c r="P18" s="354" t="s">
        <v>194</v>
      </c>
      <c r="Q18" s="354" t="s">
        <v>194</v>
      </c>
      <c r="R18" s="354" t="s">
        <v>286</v>
      </c>
      <c r="S18" s="354" t="s">
        <v>196</v>
      </c>
      <c r="T18" s="365"/>
      <c r="U18" s="354" t="s">
        <v>287</v>
      </c>
      <c r="V18" s="354" t="s">
        <v>197</v>
      </c>
      <c r="W18" s="354" t="s">
        <v>195</v>
      </c>
      <c r="X18" s="354" t="s">
        <v>197</v>
      </c>
      <c r="Y18" s="354" t="s">
        <v>192</v>
      </c>
      <c r="Z18" s="365"/>
      <c r="AA18" s="354" t="s">
        <v>197</v>
      </c>
      <c r="AB18" s="354" t="s">
        <v>194</v>
      </c>
      <c r="AC18" s="354" t="s">
        <v>192</v>
      </c>
      <c r="AD18" s="354" t="s">
        <v>197</v>
      </c>
      <c r="AE18" s="354" t="s">
        <v>143</v>
      </c>
      <c r="AF18" s="365"/>
      <c r="AG18" s="365"/>
      <c r="AH18" s="354" t="s">
        <v>252</v>
      </c>
      <c r="AI18" s="365"/>
      <c r="AJ18" s="365"/>
      <c r="AK18" s="365"/>
      <c r="AL18" s="365"/>
      <c r="AM18" s="365"/>
      <c r="AN18" s="365"/>
      <c r="AO18" s="365"/>
      <c r="AP18" s="365"/>
      <c r="AQ18" s="365"/>
      <c r="AR18" s="365"/>
      <c r="AS18" s="365"/>
      <c r="AT18" s="365"/>
      <c r="AU18" s="372"/>
      <c r="AV18" s="372"/>
      <c r="AW18" s="372"/>
    </row>
    <row r="19" spans="1:49">
      <c r="A19" s="364">
        <v>6</v>
      </c>
      <c r="B19" s="364" t="s">
        <v>136</v>
      </c>
      <c r="C19" s="364" t="s">
        <v>288</v>
      </c>
      <c r="D19" s="353" t="s">
        <v>170</v>
      </c>
      <c r="E19" s="366" t="s">
        <v>173</v>
      </c>
      <c r="F19" s="366" t="s">
        <v>173</v>
      </c>
      <c r="G19" s="366" t="s">
        <v>173</v>
      </c>
      <c r="H19" s="366" t="s">
        <v>173</v>
      </c>
      <c r="I19" s="366" t="s">
        <v>173</v>
      </c>
      <c r="J19" s="366" t="s">
        <v>285</v>
      </c>
      <c r="K19" s="366" t="s">
        <v>285</v>
      </c>
      <c r="L19" s="366" t="s">
        <v>173</v>
      </c>
      <c r="M19" s="366" t="s">
        <v>173</v>
      </c>
      <c r="N19" s="366" t="s">
        <v>173</v>
      </c>
      <c r="O19" s="366" t="s">
        <v>173</v>
      </c>
      <c r="P19" s="366" t="s">
        <v>173</v>
      </c>
      <c r="Q19" s="366" t="s">
        <v>285</v>
      </c>
      <c r="R19" s="366" t="s">
        <v>285</v>
      </c>
      <c r="S19" s="366" t="s">
        <v>173</v>
      </c>
      <c r="T19" s="366" t="s">
        <v>173</v>
      </c>
      <c r="U19" s="366" t="s">
        <v>173</v>
      </c>
      <c r="V19" s="353" t="s">
        <v>239</v>
      </c>
      <c r="W19" s="353" t="s">
        <v>243</v>
      </c>
      <c r="X19" s="353" t="s">
        <v>243</v>
      </c>
      <c r="Y19" s="353" t="s">
        <v>289</v>
      </c>
      <c r="Z19" s="353" t="s">
        <v>239</v>
      </c>
      <c r="AA19" s="366" t="s">
        <v>173</v>
      </c>
      <c r="AB19" s="366" t="s">
        <v>173</v>
      </c>
      <c r="AC19" s="353" t="s">
        <v>290</v>
      </c>
      <c r="AD19" s="353" t="s">
        <v>291</v>
      </c>
      <c r="AE19" s="353" t="s">
        <v>292</v>
      </c>
      <c r="AF19" s="353" t="s">
        <v>293</v>
      </c>
      <c r="AG19" s="353" t="s">
        <v>239</v>
      </c>
      <c r="AH19" s="353" t="s">
        <v>261</v>
      </c>
      <c r="AI19" s="364">
        <v>3.26</v>
      </c>
      <c r="AJ19" s="364">
        <v>0</v>
      </c>
      <c r="AK19" s="364">
        <v>26.18</v>
      </c>
      <c r="AL19" s="364">
        <v>0</v>
      </c>
      <c r="AM19" s="364">
        <v>7</v>
      </c>
      <c r="AN19" s="364">
        <v>414</v>
      </c>
      <c r="AO19" s="364">
        <v>0</v>
      </c>
      <c r="AP19" s="364">
        <v>0</v>
      </c>
      <c r="AQ19" s="364">
        <v>31.11</v>
      </c>
      <c r="AR19" s="364">
        <v>0</v>
      </c>
      <c r="AS19" s="364">
        <v>0</v>
      </c>
      <c r="AT19" s="364">
        <v>15</v>
      </c>
      <c r="AU19" s="371">
        <v>0</v>
      </c>
      <c r="AV19" s="371">
        <v>0</v>
      </c>
      <c r="AW19" s="371">
        <v>0</v>
      </c>
    </row>
    <row r="20" spans="1:49">
      <c r="A20" s="365"/>
      <c r="B20" s="365"/>
      <c r="C20" s="365"/>
      <c r="D20" s="354" t="s">
        <v>191</v>
      </c>
      <c r="E20" s="365"/>
      <c r="F20" s="365"/>
      <c r="G20" s="365"/>
      <c r="H20" s="365"/>
      <c r="I20" s="365"/>
      <c r="J20" s="365"/>
      <c r="K20" s="365"/>
      <c r="L20" s="365"/>
      <c r="M20" s="365"/>
      <c r="N20" s="365"/>
      <c r="O20" s="365"/>
      <c r="P20" s="365"/>
      <c r="Q20" s="365"/>
      <c r="R20" s="365"/>
      <c r="S20" s="365"/>
      <c r="T20" s="365"/>
      <c r="U20" s="365"/>
      <c r="V20" s="354" t="s">
        <v>197</v>
      </c>
      <c r="W20" s="354" t="s">
        <v>195</v>
      </c>
      <c r="X20" s="354" t="s">
        <v>192</v>
      </c>
      <c r="Y20" s="354" t="s">
        <v>197</v>
      </c>
      <c r="Z20" s="354" t="s">
        <v>196</v>
      </c>
      <c r="AA20" s="365"/>
      <c r="AB20" s="365"/>
      <c r="AC20" s="354" t="s">
        <v>248</v>
      </c>
      <c r="AD20" s="354" t="s">
        <v>143</v>
      </c>
      <c r="AE20" s="354" t="s">
        <v>192</v>
      </c>
      <c r="AF20" s="354" t="s">
        <v>223</v>
      </c>
      <c r="AG20" s="354" t="s">
        <v>294</v>
      </c>
      <c r="AH20" s="354" t="s">
        <v>195</v>
      </c>
      <c r="AI20" s="365"/>
      <c r="AJ20" s="365"/>
      <c r="AK20" s="365"/>
      <c r="AL20" s="365"/>
      <c r="AM20" s="365"/>
      <c r="AN20" s="365"/>
      <c r="AO20" s="365"/>
      <c r="AP20" s="365"/>
      <c r="AQ20" s="365"/>
      <c r="AR20" s="365"/>
      <c r="AS20" s="365"/>
      <c r="AT20" s="365"/>
      <c r="AU20" s="372"/>
      <c r="AV20" s="372"/>
      <c r="AW20" s="372"/>
    </row>
    <row r="22" spans="1:49">
      <c r="D22" s="350" t="s">
        <v>295</v>
      </c>
    </row>
    <row r="23" spans="1:49">
      <c r="E23" s="350" t="s">
        <v>296</v>
      </c>
    </row>
    <row r="24" spans="1:49">
      <c r="E24" s="350" t="s">
        <v>297</v>
      </c>
    </row>
    <row r="25" spans="1:49">
      <c r="E25" s="350" t="s">
        <v>298</v>
      </c>
    </row>
    <row r="26" spans="1:49">
      <c r="E26" s="350" t="s">
        <v>299</v>
      </c>
    </row>
    <row r="27" spans="1:49">
      <c r="E27" s="350" t="s">
        <v>300</v>
      </c>
    </row>
  </sheetData>
  <mergeCells count="168">
    <mergeCell ref="AV19:AV20"/>
    <mergeCell ref="AW19:AW20"/>
    <mergeCell ref="AP19:AP20"/>
    <mergeCell ref="AQ19:AQ20"/>
    <mergeCell ref="AR19:AR20"/>
    <mergeCell ref="AS19:AS20"/>
    <mergeCell ref="AT19:AT20"/>
    <mergeCell ref="AU19:AU20"/>
    <mergeCell ref="AJ19:AJ20"/>
    <mergeCell ref="AK19:AK20"/>
    <mergeCell ref="AL19:AL20"/>
    <mergeCell ref="AM19:AM20"/>
    <mergeCell ref="AN19:AN20"/>
    <mergeCell ref="AO19:AO20"/>
    <mergeCell ref="K19:K20"/>
    <mergeCell ref="L19:L20"/>
    <mergeCell ref="AS17:AS18"/>
    <mergeCell ref="AT17:AT18"/>
    <mergeCell ref="AU17:AU18"/>
    <mergeCell ref="Z17:Z18"/>
    <mergeCell ref="S19:S20"/>
    <mergeCell ref="T19:T20"/>
    <mergeCell ref="U19:U20"/>
    <mergeCell ref="AA19:AA20"/>
    <mergeCell ref="AB19:AB20"/>
    <mergeCell ref="AI19:AI20"/>
    <mergeCell ref="M19:M20"/>
    <mergeCell ref="N19:N20"/>
    <mergeCell ref="O19:O20"/>
    <mergeCell ref="P19:P20"/>
    <mergeCell ref="Q19:Q20"/>
    <mergeCell ref="R19:R20"/>
    <mergeCell ref="A19:A20"/>
    <mergeCell ref="B19:B20"/>
    <mergeCell ref="C19:C20"/>
    <mergeCell ref="E19:E20"/>
    <mergeCell ref="F19:F20"/>
    <mergeCell ref="AM17:AM18"/>
    <mergeCell ref="AN17:AN18"/>
    <mergeCell ref="AO17:AO18"/>
    <mergeCell ref="AP17:AP18"/>
    <mergeCell ref="AF17:AF18"/>
    <mergeCell ref="AG17:AG18"/>
    <mergeCell ref="AI17:AI18"/>
    <mergeCell ref="AJ17:AJ18"/>
    <mergeCell ref="AK17:AK18"/>
    <mergeCell ref="AL17:AL18"/>
    <mergeCell ref="A17:A18"/>
    <mergeCell ref="B17:B18"/>
    <mergeCell ref="C17:C18"/>
    <mergeCell ref="L17:L18"/>
    <mergeCell ref="T17:T18"/>
    <mergeCell ref="G19:G20"/>
    <mergeCell ref="H19:H20"/>
    <mergeCell ref="I19:I20"/>
    <mergeCell ref="J19:J20"/>
    <mergeCell ref="AV15:AV16"/>
    <mergeCell ref="AW15:AW16"/>
    <mergeCell ref="AL15:AL16"/>
    <mergeCell ref="AM15:AM16"/>
    <mergeCell ref="AN15:AN16"/>
    <mergeCell ref="AO15:AO16"/>
    <mergeCell ref="AP15:AP16"/>
    <mergeCell ref="AQ15:AQ16"/>
    <mergeCell ref="AV17:AV18"/>
    <mergeCell ref="AW17:AW18"/>
    <mergeCell ref="AQ17:AQ18"/>
    <mergeCell ref="AR17:AR18"/>
    <mergeCell ref="AJ15:AJ16"/>
    <mergeCell ref="AK15:AK16"/>
    <mergeCell ref="AS13:AS14"/>
    <mergeCell ref="AT13:AT14"/>
    <mergeCell ref="AU13:AU14"/>
    <mergeCell ref="AR15:AR16"/>
    <mergeCell ref="AS15:AS16"/>
    <mergeCell ref="AT15:AT16"/>
    <mergeCell ref="AU15:AU16"/>
    <mergeCell ref="A15:A16"/>
    <mergeCell ref="B15:B16"/>
    <mergeCell ref="C15:C16"/>
    <mergeCell ref="F15:F16"/>
    <mergeCell ref="M15:M16"/>
    <mergeCell ref="AM13:AM14"/>
    <mergeCell ref="AN13:AN14"/>
    <mergeCell ref="AO13:AO14"/>
    <mergeCell ref="AP13:AP14"/>
    <mergeCell ref="O13:O14"/>
    <mergeCell ref="V13:V14"/>
    <mergeCell ref="AI13:AI14"/>
    <mergeCell ref="AJ13:AJ14"/>
    <mergeCell ref="AK13:AK14"/>
    <mergeCell ref="AL13:AL14"/>
    <mergeCell ref="A13:A14"/>
    <mergeCell ref="B13:B14"/>
    <mergeCell ref="C13:C14"/>
    <mergeCell ref="H13:H14"/>
    <mergeCell ref="M13:M14"/>
    <mergeCell ref="U15:U16"/>
    <mergeCell ref="Z15:Z16"/>
    <mergeCell ref="AA15:AA16"/>
    <mergeCell ref="AI15:AI16"/>
    <mergeCell ref="N13:N14"/>
    <mergeCell ref="AR11:AR12"/>
    <mergeCell ref="AS11:AS12"/>
    <mergeCell ref="AT11:AT12"/>
    <mergeCell ref="AU11:AU12"/>
    <mergeCell ref="AV11:AV12"/>
    <mergeCell ref="AW11:AW12"/>
    <mergeCell ref="AL11:AL12"/>
    <mergeCell ref="AM11:AM12"/>
    <mergeCell ref="AN11:AN12"/>
    <mergeCell ref="AO11:AO12"/>
    <mergeCell ref="AP11:AP12"/>
    <mergeCell ref="AQ11:AQ12"/>
    <mergeCell ref="S11:S12"/>
    <mergeCell ref="AB11:AB12"/>
    <mergeCell ref="AD11:AD12"/>
    <mergeCell ref="AI11:AI12"/>
    <mergeCell ref="AJ11:AJ12"/>
    <mergeCell ref="AK11:AK12"/>
    <mergeCell ref="AV13:AV14"/>
    <mergeCell ref="AW13:AW14"/>
    <mergeCell ref="AQ13:AQ14"/>
    <mergeCell ref="AR13:AR14"/>
    <mergeCell ref="A11:A12"/>
    <mergeCell ref="B11:B12"/>
    <mergeCell ref="C11:C12"/>
    <mergeCell ref="E11:E12"/>
    <mergeCell ref="P11:P12"/>
    <mergeCell ref="AM9:AM10"/>
    <mergeCell ref="AN9:AN10"/>
    <mergeCell ref="AO9:AO10"/>
    <mergeCell ref="AP9:AP10"/>
    <mergeCell ref="AG9:AG10"/>
    <mergeCell ref="AH9:AH10"/>
    <mergeCell ref="AI9:AI10"/>
    <mergeCell ref="AJ9:AJ10"/>
    <mergeCell ref="AK9:AK10"/>
    <mergeCell ref="AL9:AL10"/>
    <mergeCell ref="A9:A10"/>
    <mergeCell ref="B9:B10"/>
    <mergeCell ref="C9:C10"/>
    <mergeCell ref="G9:G10"/>
    <mergeCell ref="N9:N10"/>
    <mergeCell ref="W9:W10"/>
    <mergeCell ref="AM6:AN6"/>
    <mergeCell ref="AO6:AP6"/>
    <mergeCell ref="AQ6:AS6"/>
    <mergeCell ref="AT6:AT7"/>
    <mergeCell ref="AU6:AW6"/>
    <mergeCell ref="A8:AW8"/>
    <mergeCell ref="AS9:AS10"/>
    <mergeCell ref="AT9:AT10"/>
    <mergeCell ref="AU9:AU10"/>
    <mergeCell ref="AV9:AV10"/>
    <mergeCell ref="AW9:AW10"/>
    <mergeCell ref="AQ9:AQ10"/>
    <mergeCell ref="AR9:AR10"/>
    <mergeCell ref="A1:AW1"/>
    <mergeCell ref="A2:AW2"/>
    <mergeCell ref="A3:AW3"/>
    <mergeCell ref="A4:AW4"/>
    <mergeCell ref="A6:A7"/>
    <mergeCell ref="B6:B7"/>
    <mergeCell ref="C6:C7"/>
    <mergeCell ref="D6:D7"/>
    <mergeCell ref="AI6:AJ6"/>
    <mergeCell ref="AK6:AL6"/>
  </mergeCells>
  <pageMargins left="0.16" right="0.16" top="0.1" bottom="0.1" header="0.25" footer="0.16"/>
  <pageSetup paperSize="9" scale="56" orientation="landscape" verticalDpi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H240"/>
  <sheetViews>
    <sheetView view="pageBreakPreview" zoomScale="85" zoomScaleNormal="80" zoomScaleSheetLayoutView="85" workbookViewId="0">
      <pane xSplit="3" ySplit="6" topLeftCell="D7" activePane="bottomRight" state="frozen"/>
      <selection pane="topRight"/>
      <selection pane="bottomLeft"/>
      <selection pane="bottomRight" activeCell="J6" sqref="J6"/>
    </sheetView>
  </sheetViews>
  <sheetFormatPr defaultColWidth="8.85546875" defaultRowHeight="11.25"/>
  <cols>
    <col min="1" max="1" width="5.28515625" style="45" customWidth="1"/>
    <col min="2" max="2" width="30.140625" style="27" customWidth="1"/>
    <col min="3" max="3" width="13.5703125" style="27" customWidth="1"/>
    <col min="4" max="33" width="5" style="40" customWidth="1"/>
    <col min="34" max="34" width="5" style="40" hidden="1" customWidth="1"/>
    <col min="35" max="35" width="5.5703125" style="42" customWidth="1"/>
    <col min="36" max="36" width="6.140625" style="40" customWidth="1"/>
    <col min="37" max="37" width="6.42578125" style="40" customWidth="1"/>
    <col min="38" max="38" width="7.140625" style="40" customWidth="1"/>
    <col min="39" max="41" width="9.42578125" style="27" customWidth="1"/>
    <col min="42" max="42" width="11" style="27" customWidth="1"/>
    <col min="43" max="43" width="11.28515625" style="27" customWidth="1"/>
    <col min="44" max="44" width="10.28515625" style="27" customWidth="1"/>
    <col min="45" max="45" width="12.140625" style="27" customWidth="1"/>
    <col min="46" max="16384" width="8.85546875" style="27"/>
  </cols>
  <sheetData>
    <row r="1" spans="1:216" ht="18.75" customHeight="1">
      <c r="A1" s="155" t="s">
        <v>16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6"/>
      <c r="AJ1" s="46"/>
      <c r="AK1" s="46"/>
      <c r="AL1" s="46"/>
      <c r="AM1" s="46"/>
      <c r="AN1" s="46"/>
      <c r="AO1" s="46"/>
      <c r="AP1" s="46"/>
      <c r="AQ1" s="46"/>
    </row>
    <row r="2" spans="1:216" ht="11.25" customHeight="1">
      <c r="A2" s="155" t="s">
        <v>17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  <c r="AQ2" s="46"/>
    </row>
    <row r="3" spans="1:216" ht="60" customHeight="1">
      <c r="A3" s="380" t="s">
        <v>128</v>
      </c>
      <c r="B3" s="380"/>
      <c r="C3" s="380"/>
      <c r="D3" s="380"/>
      <c r="E3" s="380"/>
      <c r="F3" s="380"/>
      <c r="G3" s="380"/>
      <c r="H3" s="380"/>
      <c r="I3" s="380"/>
      <c r="J3" s="380"/>
      <c r="K3" s="380"/>
      <c r="L3" s="380"/>
      <c r="M3" s="380"/>
      <c r="N3" s="380"/>
      <c r="O3" s="380"/>
      <c r="P3" s="380"/>
      <c r="Q3" s="380"/>
      <c r="R3" s="380"/>
      <c r="S3" s="380"/>
      <c r="T3" s="380"/>
      <c r="U3" s="380"/>
      <c r="V3" s="380"/>
      <c r="W3" s="380"/>
      <c r="X3" s="380"/>
      <c r="Y3" s="380"/>
      <c r="Z3" s="380"/>
      <c r="AA3" s="380"/>
      <c r="AB3" s="380"/>
      <c r="AC3" s="380"/>
      <c r="AD3" s="380"/>
      <c r="AE3" s="380"/>
      <c r="AF3" s="380"/>
      <c r="AG3" s="380"/>
      <c r="AH3" s="380"/>
      <c r="AI3" s="380"/>
      <c r="AJ3" s="380"/>
      <c r="AK3" s="380"/>
      <c r="AL3" s="380"/>
      <c r="AM3" s="380"/>
      <c r="AN3" s="379" t="s">
        <v>45</v>
      </c>
      <c r="AO3" s="379"/>
      <c r="AP3" s="94">
        <v>26</v>
      </c>
      <c r="AQ3" s="56"/>
      <c r="AS3" s="258" t="s">
        <v>125</v>
      </c>
      <c r="AT3" s="223"/>
      <c r="AU3" s="223"/>
      <c r="AV3" s="223"/>
      <c r="AW3" s="223"/>
    </row>
    <row r="4" spans="1:216" s="29" customFormat="1" ht="42" customHeight="1">
      <c r="A4" s="381" t="s">
        <v>0</v>
      </c>
      <c r="B4" s="381" t="s">
        <v>1</v>
      </c>
      <c r="C4" s="381" t="s">
        <v>2</v>
      </c>
      <c r="D4" s="28">
        <v>46174</v>
      </c>
      <c r="E4" s="28">
        <f>D4+1</f>
        <v>46175</v>
      </c>
      <c r="F4" s="28">
        <f t="shared" ref="F4:AH4" si="0">E4+1</f>
        <v>46176</v>
      </c>
      <c r="G4" s="28">
        <f t="shared" si="0"/>
        <v>46177</v>
      </c>
      <c r="H4" s="28">
        <f t="shared" si="0"/>
        <v>46178</v>
      </c>
      <c r="I4" s="28">
        <f t="shared" si="0"/>
        <v>46179</v>
      </c>
      <c r="J4" s="28">
        <f t="shared" si="0"/>
        <v>46180</v>
      </c>
      <c r="K4" s="28">
        <f t="shared" si="0"/>
        <v>46181</v>
      </c>
      <c r="L4" s="28">
        <f t="shared" si="0"/>
        <v>46182</v>
      </c>
      <c r="M4" s="28">
        <f t="shared" si="0"/>
        <v>46183</v>
      </c>
      <c r="N4" s="28">
        <f t="shared" si="0"/>
        <v>46184</v>
      </c>
      <c r="O4" s="28">
        <f t="shared" si="0"/>
        <v>46185</v>
      </c>
      <c r="P4" s="28">
        <f t="shared" si="0"/>
        <v>46186</v>
      </c>
      <c r="Q4" s="28">
        <f t="shared" si="0"/>
        <v>46187</v>
      </c>
      <c r="R4" s="28">
        <f t="shared" si="0"/>
        <v>46188</v>
      </c>
      <c r="S4" s="28">
        <f t="shared" si="0"/>
        <v>46189</v>
      </c>
      <c r="T4" s="28">
        <f t="shared" si="0"/>
        <v>46190</v>
      </c>
      <c r="U4" s="28">
        <f t="shared" si="0"/>
        <v>46191</v>
      </c>
      <c r="V4" s="28">
        <f t="shared" si="0"/>
        <v>46192</v>
      </c>
      <c r="W4" s="28">
        <f t="shared" si="0"/>
        <v>46193</v>
      </c>
      <c r="X4" s="28">
        <f t="shared" si="0"/>
        <v>46194</v>
      </c>
      <c r="Y4" s="28">
        <f t="shared" si="0"/>
        <v>46195</v>
      </c>
      <c r="Z4" s="28">
        <f t="shared" si="0"/>
        <v>46196</v>
      </c>
      <c r="AA4" s="28">
        <f t="shared" si="0"/>
        <v>46197</v>
      </c>
      <c r="AB4" s="28">
        <f t="shared" si="0"/>
        <v>46198</v>
      </c>
      <c r="AC4" s="28">
        <f t="shared" si="0"/>
        <v>46199</v>
      </c>
      <c r="AD4" s="28">
        <f t="shared" si="0"/>
        <v>46200</v>
      </c>
      <c r="AE4" s="28">
        <f t="shared" si="0"/>
        <v>46201</v>
      </c>
      <c r="AF4" s="28">
        <f t="shared" si="0"/>
        <v>46202</v>
      </c>
      <c r="AG4" s="28">
        <f t="shared" si="0"/>
        <v>46203</v>
      </c>
      <c r="AH4" s="28">
        <f t="shared" si="0"/>
        <v>46204</v>
      </c>
      <c r="AI4" s="382" t="s">
        <v>3</v>
      </c>
      <c r="AJ4" s="383" t="s">
        <v>51</v>
      </c>
      <c r="AK4" s="384" t="s">
        <v>81</v>
      </c>
      <c r="AL4" s="393" t="s">
        <v>93</v>
      </c>
      <c r="AM4" s="385" t="s">
        <v>94</v>
      </c>
      <c r="AN4" s="385" t="s">
        <v>95</v>
      </c>
      <c r="AO4" s="385" t="s">
        <v>96</v>
      </c>
      <c r="AP4" s="395" t="s">
        <v>97</v>
      </c>
      <c r="AQ4" s="387" t="s">
        <v>38</v>
      </c>
      <c r="AR4" s="387" t="s">
        <v>5</v>
      </c>
      <c r="AS4" s="224"/>
      <c r="AT4" s="225"/>
      <c r="AU4" s="225"/>
      <c r="AV4" s="225"/>
      <c r="AW4" s="225"/>
    </row>
    <row r="5" spans="1:216" s="29" customFormat="1" ht="59.25" customHeight="1">
      <c r="A5" s="381"/>
      <c r="B5" s="381"/>
      <c r="C5" s="381"/>
      <c r="D5" s="214" t="str">
        <f t="shared" ref="D5:AH5" si="1">IF(WEEKDAY(D4)=1,"CN","T "&amp;WEEKDAY(D4))</f>
        <v>T 2</v>
      </c>
      <c r="E5" s="30" t="str">
        <f t="shared" si="1"/>
        <v>T 3</v>
      </c>
      <c r="F5" s="30" t="str">
        <f t="shared" si="1"/>
        <v>T 4</v>
      </c>
      <c r="G5" s="30" t="str">
        <f t="shared" si="1"/>
        <v>T 5</v>
      </c>
      <c r="H5" s="30" t="str">
        <f t="shared" si="1"/>
        <v>T 6</v>
      </c>
      <c r="I5" s="30" t="str">
        <f t="shared" si="1"/>
        <v>T 7</v>
      </c>
      <c r="J5" s="30" t="str">
        <f t="shared" si="1"/>
        <v>CN</v>
      </c>
      <c r="K5" s="30" t="str">
        <f t="shared" si="1"/>
        <v>T 2</v>
      </c>
      <c r="L5" s="30" t="str">
        <f t="shared" si="1"/>
        <v>T 3</v>
      </c>
      <c r="M5" s="30" t="str">
        <f t="shared" si="1"/>
        <v>T 4</v>
      </c>
      <c r="N5" s="30" t="str">
        <f t="shared" si="1"/>
        <v>T 5</v>
      </c>
      <c r="O5" s="30" t="str">
        <f t="shared" si="1"/>
        <v>T 6</v>
      </c>
      <c r="P5" s="30" t="str">
        <f t="shared" si="1"/>
        <v>T 7</v>
      </c>
      <c r="Q5" s="30" t="str">
        <f t="shared" si="1"/>
        <v>CN</v>
      </c>
      <c r="R5" s="30" t="str">
        <f t="shared" si="1"/>
        <v>T 2</v>
      </c>
      <c r="S5" s="30" t="str">
        <f t="shared" si="1"/>
        <v>T 3</v>
      </c>
      <c r="T5" s="30" t="str">
        <f t="shared" si="1"/>
        <v>T 4</v>
      </c>
      <c r="U5" s="30" t="str">
        <f t="shared" si="1"/>
        <v>T 5</v>
      </c>
      <c r="V5" s="30" t="str">
        <f t="shared" si="1"/>
        <v>T 6</v>
      </c>
      <c r="W5" s="30" t="str">
        <f t="shared" si="1"/>
        <v>T 7</v>
      </c>
      <c r="X5" s="30" t="str">
        <f t="shared" si="1"/>
        <v>CN</v>
      </c>
      <c r="Y5" s="30" t="str">
        <f t="shared" si="1"/>
        <v>T 2</v>
      </c>
      <c r="Z5" s="30" t="str">
        <f t="shared" si="1"/>
        <v>T 3</v>
      </c>
      <c r="AA5" s="30" t="str">
        <f t="shared" si="1"/>
        <v>T 4</v>
      </c>
      <c r="AB5" s="30" t="str">
        <f t="shared" si="1"/>
        <v>T 5</v>
      </c>
      <c r="AC5" s="30" t="str">
        <f t="shared" si="1"/>
        <v>T 6</v>
      </c>
      <c r="AD5" s="30" t="str">
        <f t="shared" si="1"/>
        <v>T 7</v>
      </c>
      <c r="AE5" s="30" t="str">
        <f t="shared" si="1"/>
        <v>CN</v>
      </c>
      <c r="AF5" s="30" t="str">
        <f t="shared" si="1"/>
        <v>T 2</v>
      </c>
      <c r="AG5" s="30" t="str">
        <f t="shared" si="1"/>
        <v>T 3</v>
      </c>
      <c r="AH5" s="30" t="str">
        <f t="shared" si="1"/>
        <v>T 4</v>
      </c>
      <c r="AI5" s="382"/>
      <c r="AJ5" s="383"/>
      <c r="AK5" s="384"/>
      <c r="AL5" s="394"/>
      <c r="AM5" s="386"/>
      <c r="AN5" s="386"/>
      <c r="AO5" s="386"/>
      <c r="AP5" s="396"/>
      <c r="AQ5" s="388"/>
      <c r="AR5" s="388"/>
      <c r="AS5" s="225"/>
      <c r="AT5" s="225"/>
      <c r="AU5" s="225"/>
      <c r="AV5" s="225"/>
      <c r="AW5" s="225"/>
    </row>
    <row r="6" spans="1:216" ht="29.25" customHeight="1">
      <c r="A6" s="31">
        <v>1</v>
      </c>
      <c r="B6" s="148" t="s">
        <v>78</v>
      </c>
      <c r="C6" s="55" t="s">
        <v>89</v>
      </c>
      <c r="D6" s="260">
        <v>8</v>
      </c>
      <c r="E6" s="260">
        <v>8</v>
      </c>
      <c r="F6" s="355">
        <v>0</v>
      </c>
      <c r="G6" s="260">
        <v>8</v>
      </c>
      <c r="H6" s="260">
        <v>8</v>
      </c>
      <c r="I6" s="260">
        <v>8</v>
      </c>
      <c r="J6" s="260">
        <v>8</v>
      </c>
      <c r="K6" s="260">
        <v>8</v>
      </c>
      <c r="L6" s="260">
        <v>8</v>
      </c>
      <c r="M6" s="355">
        <v>0</v>
      </c>
      <c r="N6" s="260">
        <v>8</v>
      </c>
      <c r="O6" s="260">
        <v>8</v>
      </c>
      <c r="P6" s="260">
        <v>8</v>
      </c>
      <c r="Q6" s="260">
        <v>8</v>
      </c>
      <c r="R6" s="260">
        <v>8</v>
      </c>
      <c r="S6" s="260">
        <v>8</v>
      </c>
      <c r="T6" s="260">
        <v>8</v>
      </c>
      <c r="U6" s="260">
        <v>8</v>
      </c>
      <c r="V6" s="355">
        <v>0</v>
      </c>
      <c r="W6" s="260">
        <v>8</v>
      </c>
      <c r="X6" s="260">
        <v>8</v>
      </c>
      <c r="Y6" s="260">
        <v>8</v>
      </c>
      <c r="Z6" s="260">
        <v>8</v>
      </c>
      <c r="AA6" s="260">
        <v>8</v>
      </c>
      <c r="AB6" s="260">
        <v>8</v>
      </c>
      <c r="AC6" s="260">
        <v>8</v>
      </c>
      <c r="AD6" s="260">
        <v>8</v>
      </c>
      <c r="AE6" s="260">
        <v>8</v>
      </c>
      <c r="AF6" s="355">
        <v>0</v>
      </c>
      <c r="AG6" s="356" t="s">
        <v>301</v>
      </c>
      <c r="AH6" s="262"/>
      <c r="AI6" s="143">
        <f t="shared" ref="AI6:AI8" si="2">SUM(D6:AH6)</f>
        <v>200</v>
      </c>
      <c r="AJ6" s="144">
        <f t="shared" ref="AJ6:AJ8" si="3">COUNTIF(D6:AH6,"P")*8+COUNTIF(D6:AH6,"KH")*8+COUNTIF(D6:AH6,"TL")*8+COUNTIF(D6:AH6,"NL")*8</f>
        <v>8</v>
      </c>
      <c r="AK6" s="144">
        <f t="shared" ref="AK6:AK8" si="4">COUNTIF(D6:AH6,"ĐC")*8</f>
        <v>0</v>
      </c>
      <c r="AL6" s="144"/>
      <c r="AM6" s="143">
        <f>AI6+AJ6+AK6</f>
        <v>208</v>
      </c>
      <c r="AN6" s="144">
        <f>IF(AM6/8&gt;$AP$3,$AP$3,AM6/8)</f>
        <v>26</v>
      </c>
      <c r="AO6" s="144"/>
      <c r="AP6" s="145">
        <f>IF(AND(AN6&gt;=$AP$3,AO6=0),350000,IF(AND(OR(AR6="NV MỚI",AR6="NGHỈ VIỆC"),AO6=0),350000/$AP$3*AN6,0))</f>
        <v>350000</v>
      </c>
      <c r="AQ6" s="143"/>
      <c r="AR6" s="146"/>
      <c r="AS6" s="223"/>
      <c r="AT6" s="223"/>
      <c r="AU6" s="223"/>
      <c r="AV6" s="223"/>
      <c r="AW6" s="223"/>
    </row>
    <row r="7" spans="1:216" ht="28.5" customHeight="1">
      <c r="A7" s="31">
        <v>2</v>
      </c>
      <c r="B7" s="243" t="s">
        <v>118</v>
      </c>
      <c r="C7" s="244" t="s">
        <v>111</v>
      </c>
      <c r="D7" s="355">
        <v>0</v>
      </c>
      <c r="E7" s="260">
        <v>8</v>
      </c>
      <c r="F7" s="260">
        <v>8</v>
      </c>
      <c r="G7" s="260">
        <v>8</v>
      </c>
      <c r="H7" s="260">
        <v>8</v>
      </c>
      <c r="I7" s="260">
        <v>8</v>
      </c>
      <c r="J7" s="260">
        <v>8</v>
      </c>
      <c r="K7" s="260">
        <v>8</v>
      </c>
      <c r="L7" s="260">
        <v>8</v>
      </c>
      <c r="M7" s="260">
        <v>8</v>
      </c>
      <c r="N7" s="260">
        <v>8</v>
      </c>
      <c r="O7" s="355">
        <v>0</v>
      </c>
      <c r="P7" s="260">
        <v>8</v>
      </c>
      <c r="Q7" s="260">
        <v>8</v>
      </c>
      <c r="R7" s="355">
        <v>0</v>
      </c>
      <c r="S7" s="260">
        <v>8</v>
      </c>
      <c r="T7" s="260">
        <v>8</v>
      </c>
      <c r="U7" s="260">
        <v>8</v>
      </c>
      <c r="V7" s="260">
        <v>8</v>
      </c>
      <c r="W7" s="260">
        <v>8</v>
      </c>
      <c r="X7" s="260">
        <v>8</v>
      </c>
      <c r="Y7" s="260">
        <v>8</v>
      </c>
      <c r="Z7" s="260">
        <v>8</v>
      </c>
      <c r="AA7" s="355">
        <v>0</v>
      </c>
      <c r="AB7" s="260">
        <v>8</v>
      </c>
      <c r="AC7" s="356" t="s">
        <v>301</v>
      </c>
      <c r="AD7" s="260">
        <v>8</v>
      </c>
      <c r="AE7" s="260">
        <v>8</v>
      </c>
      <c r="AF7" s="260">
        <v>8</v>
      </c>
      <c r="AG7" s="260">
        <v>8</v>
      </c>
      <c r="AH7" s="262"/>
      <c r="AI7" s="143">
        <f t="shared" ref="AI7" si="5">SUM(D7:AH7)</f>
        <v>200</v>
      </c>
      <c r="AJ7" s="144">
        <f t="shared" ref="AJ7" si="6">COUNTIF(D7:AH7,"P")*8+COUNTIF(D7:AH7,"KH")*8+COUNTIF(D7:AH7,"TL")*8+COUNTIF(D7:AH7,"NL")*8</f>
        <v>8</v>
      </c>
      <c r="AK7" s="144">
        <f t="shared" ref="AK7" si="7">COUNTIF(D7:AH7,"ĐC")*8</f>
        <v>0</v>
      </c>
      <c r="AL7" s="144"/>
      <c r="AM7" s="143">
        <f t="shared" ref="AM7" si="8">AI7+AJ7+AK7</f>
        <v>208</v>
      </c>
      <c r="AN7" s="144">
        <f t="shared" ref="AN7" si="9">IF(AM7/8&gt;$AP$3,$AP$3,AM7/8)</f>
        <v>26</v>
      </c>
      <c r="AO7" s="144"/>
      <c r="AP7" s="145">
        <f t="shared" ref="AP7" si="10">IF(AND(AN7&gt;=$AP$3,AO7=0),350000,IF(AND(OR(AR7="NV MỚI",AR7="NGHỈ VIỆC"),AO7=0),350000/$AP$3*AN7,0))</f>
        <v>350000</v>
      </c>
      <c r="AQ7" s="241"/>
      <c r="AR7" s="242"/>
      <c r="AS7" s="223"/>
      <c r="AT7" s="223"/>
      <c r="AU7" s="223"/>
      <c r="AV7" s="223"/>
      <c r="AW7" s="223"/>
    </row>
    <row r="8" spans="1:216" s="32" customFormat="1" ht="29.25" customHeight="1">
      <c r="A8" s="31">
        <v>3</v>
      </c>
      <c r="B8" s="148" t="s">
        <v>107</v>
      </c>
      <c r="C8" s="55" t="s">
        <v>111</v>
      </c>
      <c r="D8" s="260">
        <v>8</v>
      </c>
      <c r="E8" s="260">
        <v>8</v>
      </c>
      <c r="F8" s="260">
        <v>8</v>
      </c>
      <c r="G8" s="355">
        <v>0</v>
      </c>
      <c r="H8" s="260">
        <v>8</v>
      </c>
      <c r="I8" s="260">
        <v>8</v>
      </c>
      <c r="J8" s="260">
        <v>8</v>
      </c>
      <c r="K8" s="260">
        <v>8</v>
      </c>
      <c r="L8" s="355">
        <v>0</v>
      </c>
      <c r="M8" s="355">
        <v>0</v>
      </c>
      <c r="N8" s="356" t="s">
        <v>301</v>
      </c>
      <c r="O8" s="260">
        <v>8</v>
      </c>
      <c r="P8" s="260">
        <v>8</v>
      </c>
      <c r="Q8" s="260">
        <v>8</v>
      </c>
      <c r="R8" s="260">
        <v>8</v>
      </c>
      <c r="S8" s="260">
        <v>8</v>
      </c>
      <c r="T8" s="260">
        <v>8</v>
      </c>
      <c r="U8" s="355">
        <v>0</v>
      </c>
      <c r="V8" s="260">
        <v>8</v>
      </c>
      <c r="W8" s="260">
        <v>8</v>
      </c>
      <c r="X8" s="260">
        <v>8</v>
      </c>
      <c r="Y8" s="260">
        <v>8</v>
      </c>
      <c r="Z8" s="260">
        <v>8</v>
      </c>
      <c r="AA8" s="260">
        <v>8</v>
      </c>
      <c r="AB8" s="260">
        <v>8</v>
      </c>
      <c r="AC8" s="260">
        <v>8</v>
      </c>
      <c r="AD8" s="260">
        <v>8</v>
      </c>
      <c r="AE8" s="260">
        <v>8</v>
      </c>
      <c r="AF8" s="260">
        <v>8</v>
      </c>
      <c r="AG8" s="260">
        <v>8</v>
      </c>
      <c r="AH8" s="262"/>
      <c r="AI8" s="143">
        <f t="shared" si="2"/>
        <v>200</v>
      </c>
      <c r="AJ8" s="144">
        <f t="shared" si="3"/>
        <v>8</v>
      </c>
      <c r="AK8" s="144">
        <f t="shared" si="4"/>
        <v>0</v>
      </c>
      <c r="AL8" s="144"/>
      <c r="AM8" s="143">
        <f t="shared" ref="AM8" si="11">AI8+AJ8+AK8</f>
        <v>208</v>
      </c>
      <c r="AN8" s="144">
        <f t="shared" ref="AN8" si="12">IF(AM8/8&gt;$AP$3,$AP$3,AM8/8)</f>
        <v>26</v>
      </c>
      <c r="AO8" s="144"/>
      <c r="AP8" s="145">
        <f t="shared" ref="AP8" si="13">IF(AND(AN8&gt;=$AP$3,AO8=0),350000,IF(AND(OR(AR8="NV MỚI",AR8="NGHỈ VIỆC"),AO8=0),350000/$AP$3*AN8,0))</f>
        <v>350000</v>
      </c>
      <c r="AQ8" s="147"/>
      <c r="AR8" s="146"/>
      <c r="AS8" s="223"/>
      <c r="AT8" s="223"/>
      <c r="AU8" s="223"/>
      <c r="AV8" s="223"/>
      <c r="AW8" s="223"/>
    </row>
    <row r="9" spans="1:216" s="234" customFormat="1" ht="29.25" customHeight="1">
      <c r="A9" s="31">
        <v>4</v>
      </c>
      <c r="B9" s="263" t="s">
        <v>121</v>
      </c>
      <c r="C9" s="264" t="s">
        <v>108</v>
      </c>
      <c r="D9" s="260">
        <v>8</v>
      </c>
      <c r="E9" s="355">
        <v>0</v>
      </c>
      <c r="F9" s="260">
        <v>8</v>
      </c>
      <c r="G9" s="260">
        <v>8</v>
      </c>
      <c r="H9" s="260">
        <v>8</v>
      </c>
      <c r="I9" s="260">
        <v>8</v>
      </c>
      <c r="J9" s="260">
        <v>8</v>
      </c>
      <c r="K9" s="260">
        <v>8</v>
      </c>
      <c r="L9" s="355">
        <v>0</v>
      </c>
      <c r="M9" s="260">
        <v>8</v>
      </c>
      <c r="N9" s="260">
        <v>8</v>
      </c>
      <c r="O9" s="260">
        <v>8</v>
      </c>
      <c r="P9" s="260">
        <v>8</v>
      </c>
      <c r="Q9" s="260">
        <v>8</v>
      </c>
      <c r="R9" s="260">
        <v>8</v>
      </c>
      <c r="S9" s="260">
        <v>8</v>
      </c>
      <c r="T9" s="355">
        <v>0</v>
      </c>
      <c r="U9" s="260">
        <v>8</v>
      </c>
      <c r="V9" s="260">
        <v>8</v>
      </c>
      <c r="W9" s="260">
        <v>8</v>
      </c>
      <c r="X9" s="260">
        <v>8</v>
      </c>
      <c r="Y9" s="355">
        <v>0</v>
      </c>
      <c r="Z9" s="356" t="s">
        <v>301</v>
      </c>
      <c r="AA9" s="260">
        <v>8</v>
      </c>
      <c r="AB9" s="260">
        <v>8</v>
      </c>
      <c r="AC9" s="260">
        <v>8</v>
      </c>
      <c r="AD9" s="260">
        <v>8</v>
      </c>
      <c r="AE9" s="260">
        <v>8</v>
      </c>
      <c r="AF9" s="260">
        <v>8</v>
      </c>
      <c r="AG9" s="260">
        <v>8</v>
      </c>
      <c r="AH9" s="265"/>
      <c r="AI9" s="266">
        <f t="shared" ref="AI9:AI11" si="14">SUM(D9:AH9)</f>
        <v>200</v>
      </c>
      <c r="AJ9" s="267">
        <f t="shared" ref="AJ9:AJ11" si="15">COUNTIF(D9:AH9,"P")*8+COUNTIF(D9:AH9,"KH")*8+COUNTIF(D9:AH9,"TL")*8+COUNTIF(D9:AH9,"NL")*8</f>
        <v>8</v>
      </c>
      <c r="AK9" s="267">
        <f t="shared" ref="AK9:AK11" si="16">COUNTIF(D9:AH9,"ĐC")*8</f>
        <v>0</v>
      </c>
      <c r="AL9" s="232"/>
      <c r="AM9" s="266">
        <f t="shared" ref="AM9:AM11" si="17">AI9+AJ9+AK9</f>
        <v>208</v>
      </c>
      <c r="AN9" s="267">
        <f t="shared" ref="AN9:AN11" si="18">IF(AM9/8&gt;$AP$3,$AP$3,AM9/8)</f>
        <v>26</v>
      </c>
      <c r="AO9" s="267"/>
      <c r="AP9" s="268">
        <f t="shared" ref="AP9:AP11" si="19">IF(AND(AN9&gt;=$AP$3,AO9=0),350000,IF(AND(OR(AR9="NV MỚI",AR9="NGHỈ VIỆC"),AO9=0),350000/$AP$3*AN9,0))</f>
        <v>350000</v>
      </c>
      <c r="AQ9" s="269"/>
      <c r="AR9" s="270"/>
      <c r="AS9" s="233"/>
      <c r="AT9" s="233"/>
      <c r="AU9" s="233"/>
      <c r="AV9" s="233"/>
      <c r="AW9" s="233"/>
    </row>
    <row r="10" spans="1:216" s="280" customFormat="1" ht="29.25" customHeight="1">
      <c r="A10" s="31">
        <v>5</v>
      </c>
      <c r="B10" s="271" t="s">
        <v>123</v>
      </c>
      <c r="C10" s="272" t="s">
        <v>108</v>
      </c>
      <c r="D10" s="260">
        <v>8</v>
      </c>
      <c r="E10" s="260">
        <v>8</v>
      </c>
      <c r="F10" s="260">
        <v>8</v>
      </c>
      <c r="G10" s="260">
        <v>8</v>
      </c>
      <c r="H10" s="260">
        <v>8</v>
      </c>
      <c r="I10" s="260">
        <v>8</v>
      </c>
      <c r="J10" s="260">
        <v>8</v>
      </c>
      <c r="K10" s="355">
        <v>0</v>
      </c>
      <c r="L10" s="260">
        <v>8</v>
      </c>
      <c r="M10" s="260">
        <v>8</v>
      </c>
      <c r="N10" s="260">
        <v>8</v>
      </c>
      <c r="O10" s="260">
        <v>8</v>
      </c>
      <c r="P10" s="260">
        <v>8</v>
      </c>
      <c r="Q10" s="260">
        <v>8</v>
      </c>
      <c r="R10" s="260">
        <v>8</v>
      </c>
      <c r="S10" s="355">
        <v>0</v>
      </c>
      <c r="T10" s="260">
        <v>8</v>
      </c>
      <c r="U10" s="260">
        <v>8</v>
      </c>
      <c r="V10" s="260">
        <v>8</v>
      </c>
      <c r="W10" s="260">
        <v>8</v>
      </c>
      <c r="X10" s="260">
        <v>8</v>
      </c>
      <c r="Y10" s="355">
        <v>0</v>
      </c>
      <c r="Z10" s="260">
        <v>8</v>
      </c>
      <c r="AA10" s="260">
        <v>8</v>
      </c>
      <c r="AB10" s="260">
        <v>8</v>
      </c>
      <c r="AC10" s="260">
        <v>8</v>
      </c>
      <c r="AD10" s="260">
        <v>8</v>
      </c>
      <c r="AE10" s="356" t="s">
        <v>301</v>
      </c>
      <c r="AF10" s="355">
        <v>0</v>
      </c>
      <c r="AG10" s="260">
        <v>8</v>
      </c>
      <c r="AH10" s="265"/>
      <c r="AI10" s="273">
        <f t="shared" si="14"/>
        <v>200</v>
      </c>
      <c r="AJ10" s="274">
        <f t="shared" si="15"/>
        <v>8</v>
      </c>
      <c r="AK10" s="274">
        <f t="shared" si="16"/>
        <v>0</v>
      </c>
      <c r="AL10" s="232"/>
      <c r="AM10" s="273">
        <f t="shared" si="17"/>
        <v>208</v>
      </c>
      <c r="AN10" s="274">
        <f t="shared" si="18"/>
        <v>26</v>
      </c>
      <c r="AO10" s="274"/>
      <c r="AP10" s="275">
        <f t="shared" si="19"/>
        <v>350000</v>
      </c>
      <c r="AQ10" s="276"/>
      <c r="AR10" s="277"/>
      <c r="AS10" s="278"/>
      <c r="AT10" s="278"/>
      <c r="AU10" s="278"/>
      <c r="AV10" s="278"/>
      <c r="AW10" s="278"/>
      <c r="AX10" s="279"/>
      <c r="AY10" s="279"/>
      <c r="AZ10" s="279"/>
      <c r="BA10" s="279"/>
      <c r="BB10" s="279"/>
      <c r="BC10" s="279"/>
      <c r="BD10" s="279"/>
      <c r="BE10" s="279"/>
      <c r="BF10" s="279"/>
      <c r="BG10" s="279"/>
      <c r="BH10" s="279"/>
      <c r="BI10" s="279"/>
      <c r="BJ10" s="279"/>
      <c r="BK10" s="279"/>
      <c r="BL10" s="279"/>
      <c r="BM10" s="279"/>
      <c r="BN10" s="279"/>
      <c r="BO10" s="279"/>
      <c r="BP10" s="279"/>
      <c r="BQ10" s="279"/>
      <c r="BR10" s="279"/>
      <c r="BS10" s="279"/>
      <c r="BT10" s="279"/>
      <c r="BU10" s="279"/>
      <c r="BV10" s="279"/>
      <c r="BW10" s="279"/>
      <c r="BX10" s="279"/>
      <c r="BY10" s="279"/>
      <c r="BZ10" s="279"/>
      <c r="CA10" s="279"/>
      <c r="CB10" s="279"/>
      <c r="CC10" s="279"/>
      <c r="CD10" s="279"/>
      <c r="CE10" s="279"/>
      <c r="CF10" s="279"/>
      <c r="CG10" s="279"/>
      <c r="CH10" s="279"/>
      <c r="CI10" s="279"/>
      <c r="CJ10" s="279"/>
      <c r="CK10" s="279"/>
      <c r="CL10" s="279"/>
      <c r="CM10" s="279"/>
      <c r="CN10" s="279"/>
      <c r="CO10" s="279"/>
      <c r="CP10" s="279"/>
      <c r="CQ10" s="279"/>
      <c r="CR10" s="279"/>
      <c r="CS10" s="279"/>
      <c r="CT10" s="279"/>
      <c r="CU10" s="279"/>
      <c r="CV10" s="279"/>
      <c r="CW10" s="279"/>
      <c r="CX10" s="279"/>
      <c r="CY10" s="279"/>
      <c r="CZ10" s="279"/>
      <c r="DA10" s="279"/>
      <c r="DB10" s="279"/>
      <c r="DC10" s="279"/>
      <c r="DD10" s="279"/>
      <c r="DE10" s="279"/>
      <c r="DF10" s="279"/>
      <c r="DG10" s="279"/>
      <c r="DH10" s="279"/>
      <c r="DI10" s="279"/>
      <c r="DJ10" s="279"/>
      <c r="DK10" s="279"/>
      <c r="DL10" s="279"/>
      <c r="DM10" s="279"/>
      <c r="DN10" s="279"/>
      <c r="DO10" s="279"/>
      <c r="DP10" s="279"/>
      <c r="DQ10" s="279"/>
      <c r="DR10" s="279"/>
      <c r="DS10" s="279"/>
      <c r="DT10" s="279"/>
      <c r="DU10" s="279"/>
      <c r="DV10" s="279"/>
      <c r="DW10" s="279"/>
      <c r="DX10" s="279"/>
      <c r="DY10" s="279"/>
      <c r="DZ10" s="279"/>
      <c r="EA10" s="279"/>
      <c r="EB10" s="279"/>
      <c r="EC10" s="279"/>
      <c r="ED10" s="279"/>
      <c r="EE10" s="279"/>
      <c r="EF10" s="279"/>
      <c r="EG10" s="279"/>
      <c r="EH10" s="279"/>
      <c r="EI10" s="279"/>
      <c r="EJ10" s="279"/>
      <c r="EK10" s="279"/>
      <c r="EL10" s="279"/>
      <c r="EM10" s="279"/>
      <c r="EN10" s="279"/>
      <c r="EO10" s="279"/>
      <c r="EP10" s="279"/>
      <c r="EQ10" s="279"/>
      <c r="ER10" s="279"/>
      <c r="ES10" s="279"/>
      <c r="ET10" s="279"/>
      <c r="EU10" s="279"/>
      <c r="EV10" s="279"/>
      <c r="EW10" s="279"/>
      <c r="EX10" s="279"/>
      <c r="EY10" s="279"/>
      <c r="EZ10" s="279"/>
      <c r="FA10" s="279"/>
      <c r="FB10" s="279"/>
      <c r="FC10" s="279"/>
      <c r="FD10" s="279"/>
      <c r="FE10" s="279"/>
      <c r="FF10" s="279"/>
      <c r="FG10" s="279"/>
      <c r="FH10" s="279"/>
      <c r="FI10" s="279"/>
      <c r="FJ10" s="279"/>
      <c r="FK10" s="279"/>
      <c r="FL10" s="279"/>
      <c r="FM10" s="279"/>
      <c r="FN10" s="279"/>
      <c r="FO10" s="279"/>
      <c r="FP10" s="279"/>
      <c r="FQ10" s="279"/>
      <c r="FR10" s="279"/>
      <c r="FS10" s="279"/>
      <c r="FT10" s="279"/>
      <c r="FU10" s="279"/>
      <c r="FV10" s="279"/>
      <c r="FW10" s="279"/>
      <c r="FX10" s="279"/>
      <c r="FY10" s="279"/>
      <c r="FZ10" s="279"/>
      <c r="GA10" s="279"/>
      <c r="GB10" s="279"/>
      <c r="GC10" s="279"/>
      <c r="GD10" s="279"/>
      <c r="GE10" s="279"/>
      <c r="GF10" s="279"/>
      <c r="GG10" s="279"/>
      <c r="GH10" s="279"/>
      <c r="GI10" s="279"/>
      <c r="GJ10" s="279"/>
      <c r="GK10" s="279"/>
      <c r="GL10" s="279"/>
      <c r="GM10" s="279"/>
      <c r="GN10" s="279"/>
      <c r="GO10" s="279"/>
      <c r="GP10" s="279"/>
      <c r="GQ10" s="279"/>
      <c r="GR10" s="279"/>
      <c r="GS10" s="279"/>
      <c r="GT10" s="279"/>
      <c r="GU10" s="279"/>
      <c r="GV10" s="279"/>
      <c r="GW10" s="279"/>
      <c r="GX10" s="279"/>
      <c r="GY10" s="279"/>
      <c r="GZ10" s="279"/>
      <c r="HA10" s="279"/>
      <c r="HB10" s="279"/>
      <c r="HC10" s="279"/>
      <c r="HD10" s="279"/>
      <c r="HE10" s="279"/>
      <c r="HF10" s="279"/>
      <c r="HG10" s="279"/>
      <c r="HH10" s="279"/>
    </row>
    <row r="11" spans="1:216" s="302" customFormat="1" ht="29.25" customHeight="1">
      <c r="A11" s="292">
        <v>6</v>
      </c>
      <c r="B11" s="293" t="s">
        <v>135</v>
      </c>
      <c r="C11" s="294" t="s">
        <v>108</v>
      </c>
      <c r="D11" s="397" t="s">
        <v>302</v>
      </c>
      <c r="E11" s="398"/>
      <c r="F11" s="398"/>
      <c r="G11" s="398"/>
      <c r="H11" s="398"/>
      <c r="I11" s="398"/>
      <c r="J11" s="398"/>
      <c r="K11" s="398"/>
      <c r="L11" s="398"/>
      <c r="M11" s="398"/>
      <c r="N11" s="398"/>
      <c r="O11" s="398"/>
      <c r="P11" s="398"/>
      <c r="Q11" s="399"/>
      <c r="R11" s="260">
        <v>8</v>
      </c>
      <c r="S11" s="260">
        <v>8</v>
      </c>
      <c r="T11" s="260">
        <v>8</v>
      </c>
      <c r="U11" s="260">
        <v>8</v>
      </c>
      <c r="V11" s="260">
        <v>8</v>
      </c>
      <c r="W11" s="260">
        <v>8</v>
      </c>
      <c r="X11" s="260">
        <v>8</v>
      </c>
      <c r="Y11" s="260">
        <v>8</v>
      </c>
      <c r="Z11" s="355">
        <v>0</v>
      </c>
      <c r="AA11" s="355">
        <v>0</v>
      </c>
      <c r="AB11" s="260">
        <v>8</v>
      </c>
      <c r="AC11" s="260">
        <v>8</v>
      </c>
      <c r="AD11" s="260">
        <v>8</v>
      </c>
      <c r="AE11" s="260">
        <v>8</v>
      </c>
      <c r="AF11" s="260">
        <v>8</v>
      </c>
      <c r="AG11" s="260">
        <v>8</v>
      </c>
      <c r="AH11" s="295"/>
      <c r="AI11" s="296">
        <f t="shared" si="14"/>
        <v>112</v>
      </c>
      <c r="AJ11" s="297">
        <f t="shared" si="15"/>
        <v>0</v>
      </c>
      <c r="AK11" s="297">
        <f t="shared" si="16"/>
        <v>0</v>
      </c>
      <c r="AL11" s="297"/>
      <c r="AM11" s="296">
        <f t="shared" si="17"/>
        <v>112</v>
      </c>
      <c r="AN11" s="297">
        <f t="shared" si="18"/>
        <v>14</v>
      </c>
      <c r="AO11" s="297"/>
      <c r="AP11" s="298">
        <f t="shared" si="19"/>
        <v>188461.53846153844</v>
      </c>
      <c r="AQ11" s="299"/>
      <c r="AR11" s="300" t="s">
        <v>303</v>
      </c>
      <c r="AS11" s="301"/>
      <c r="AT11" s="301"/>
      <c r="AU11" s="301"/>
      <c r="AV11" s="301"/>
      <c r="AW11" s="301"/>
    </row>
    <row r="12" spans="1:216" s="32" customFormat="1" ht="12.75">
      <c r="A12" s="390"/>
      <c r="B12" s="390"/>
      <c r="C12" s="390"/>
      <c r="D12" s="390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3"/>
      <c r="AB12" s="33"/>
      <c r="AC12" s="33"/>
      <c r="AD12" s="33"/>
      <c r="AE12" s="33"/>
      <c r="AF12" s="33"/>
      <c r="AG12" s="33"/>
      <c r="AH12" s="33"/>
      <c r="AI12" s="34"/>
      <c r="AJ12" s="33"/>
      <c r="AK12" s="33"/>
      <c r="AL12" s="33"/>
      <c r="AM12" s="35"/>
      <c r="AN12" s="35"/>
      <c r="AO12" s="35"/>
      <c r="AP12" s="35"/>
      <c r="AS12" s="223"/>
      <c r="AT12" s="223"/>
      <c r="AU12" s="223"/>
      <c r="AV12" s="223"/>
      <c r="AW12" s="223"/>
    </row>
    <row r="13" spans="1:216" s="32" customFormat="1" ht="26.25" customHeight="1">
      <c r="A13" s="391" t="s">
        <v>40</v>
      </c>
      <c r="B13" s="391"/>
      <c r="C13" s="391"/>
      <c r="D13" s="36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3"/>
      <c r="AB13" s="33"/>
      <c r="AC13" s="33"/>
      <c r="AD13" s="33"/>
      <c r="AE13" s="33"/>
      <c r="AF13" s="33"/>
      <c r="AG13" s="33"/>
      <c r="AH13" s="33"/>
      <c r="AI13" s="392"/>
      <c r="AJ13" s="392"/>
      <c r="AK13" s="392"/>
      <c r="AL13" s="392"/>
      <c r="AM13" s="392"/>
      <c r="AN13" s="392"/>
      <c r="AO13" s="392"/>
      <c r="AP13" s="392"/>
      <c r="AS13" s="223"/>
      <c r="AT13" s="223"/>
      <c r="AU13" s="223"/>
      <c r="AV13" s="223"/>
      <c r="AW13" s="223"/>
    </row>
    <row r="14" spans="1:216" s="32" customFormat="1" ht="30" customHeight="1">
      <c r="A14" s="403" t="s">
        <v>98</v>
      </c>
      <c r="B14" s="403"/>
      <c r="C14" s="403"/>
      <c r="D14" s="38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3"/>
      <c r="AB14" s="33"/>
      <c r="AC14" s="33"/>
      <c r="AD14" s="33"/>
      <c r="AE14" s="33"/>
      <c r="AF14" s="33"/>
      <c r="AG14" s="33"/>
      <c r="AH14" s="33"/>
      <c r="AI14" s="154"/>
      <c r="AJ14" s="154"/>
      <c r="AK14" s="154"/>
      <c r="AL14" s="154"/>
      <c r="AM14" s="154"/>
      <c r="AN14" s="154"/>
      <c r="AO14" s="154"/>
      <c r="AP14" s="154"/>
      <c r="AS14" s="223"/>
      <c r="AT14" s="223"/>
      <c r="AU14" s="223"/>
      <c r="AV14" s="223"/>
      <c r="AW14" s="223"/>
    </row>
    <row r="15" spans="1:216" s="32" customFormat="1" ht="26.25" customHeight="1">
      <c r="A15" s="389" t="s">
        <v>46</v>
      </c>
      <c r="B15" s="389"/>
      <c r="C15" s="389"/>
      <c r="D15" s="39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3"/>
      <c r="AB15" s="33"/>
      <c r="AC15" s="33"/>
      <c r="AD15" s="33"/>
      <c r="AE15" s="33"/>
      <c r="AF15" s="33"/>
      <c r="AG15" s="33"/>
      <c r="AH15" s="33"/>
      <c r="AI15" s="154"/>
      <c r="AJ15" s="154"/>
      <c r="AK15" s="154"/>
      <c r="AL15" s="226"/>
      <c r="AM15" s="154"/>
      <c r="AN15" s="154"/>
      <c r="AO15" s="154"/>
      <c r="AP15" s="154"/>
      <c r="AS15" s="259"/>
      <c r="AT15" s="223"/>
      <c r="AU15" s="223"/>
      <c r="AV15" s="223"/>
      <c r="AW15" s="223"/>
    </row>
    <row r="16" spans="1:216" s="32" customFormat="1" ht="26.25" customHeight="1">
      <c r="A16" s="389" t="s">
        <v>80</v>
      </c>
      <c r="B16" s="389"/>
      <c r="C16" s="389"/>
      <c r="D16" s="59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3"/>
      <c r="AB16" s="33"/>
      <c r="AC16" s="33"/>
      <c r="AD16" s="33"/>
      <c r="AE16" s="33"/>
      <c r="AF16" s="33"/>
      <c r="AG16" s="33"/>
      <c r="AH16" s="33"/>
      <c r="AI16" s="154"/>
      <c r="AJ16" s="154"/>
      <c r="AK16" s="154"/>
      <c r="AL16" s="154"/>
      <c r="AM16" s="154"/>
      <c r="AN16" s="154"/>
      <c r="AO16" s="154"/>
      <c r="AP16" s="154"/>
    </row>
    <row r="17" spans="1:45" s="32" customFormat="1" ht="26.25" customHeight="1">
      <c r="A17" s="391" t="s">
        <v>87</v>
      </c>
      <c r="B17" s="391"/>
      <c r="C17" s="391"/>
      <c r="D17" s="41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3"/>
      <c r="AB17" s="33"/>
      <c r="AC17" s="33"/>
      <c r="AD17" s="33"/>
      <c r="AE17" s="33"/>
      <c r="AF17" s="33"/>
      <c r="AG17" s="33"/>
      <c r="AH17" s="33"/>
      <c r="AI17" s="154"/>
      <c r="AJ17" s="154"/>
      <c r="AK17" s="154"/>
      <c r="AL17" s="154"/>
      <c r="AM17" s="154"/>
      <c r="AN17" s="154"/>
      <c r="AO17" s="154"/>
      <c r="AP17" s="154"/>
    </row>
    <row r="18" spans="1:45" s="32" customFormat="1" ht="26.25" customHeight="1">
      <c r="A18" s="400" t="s">
        <v>49</v>
      </c>
      <c r="B18" s="401"/>
      <c r="C18" s="402"/>
      <c r="D18" s="59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3"/>
      <c r="AB18" s="33"/>
      <c r="AC18" s="33"/>
      <c r="AD18" s="33"/>
      <c r="AE18" s="33"/>
      <c r="AF18" s="33"/>
      <c r="AG18" s="33"/>
      <c r="AH18" s="33"/>
      <c r="AI18" s="154"/>
      <c r="AJ18" s="154"/>
      <c r="AK18" s="154"/>
      <c r="AL18" s="154"/>
      <c r="AM18" s="154"/>
      <c r="AN18" s="154"/>
      <c r="AO18" s="154"/>
      <c r="AP18" s="154"/>
    </row>
    <row r="19" spans="1:45" s="32" customFormat="1" ht="34.5" customHeight="1">
      <c r="A19" s="400" t="s">
        <v>50</v>
      </c>
      <c r="B19" s="401"/>
      <c r="C19" s="402"/>
      <c r="D19" s="60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3"/>
      <c r="AB19" s="33"/>
      <c r="AC19" s="33"/>
      <c r="AD19" s="33"/>
      <c r="AE19" s="33"/>
      <c r="AF19" s="33"/>
      <c r="AG19" s="33"/>
      <c r="AH19" s="33"/>
      <c r="AI19" s="154"/>
      <c r="AJ19" s="154"/>
      <c r="AK19" s="154"/>
      <c r="AL19" s="154"/>
      <c r="AM19" s="154"/>
      <c r="AN19" s="154"/>
      <c r="AO19" s="154"/>
      <c r="AP19" s="154"/>
    </row>
    <row r="20" spans="1:45" s="32" customFormat="1" ht="15">
      <c r="A20" s="57" t="s">
        <v>47</v>
      </c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3"/>
      <c r="AB20" s="33"/>
      <c r="AC20" s="33"/>
      <c r="AD20" s="33"/>
      <c r="AE20" s="33"/>
      <c r="AF20" s="33"/>
      <c r="AG20" s="33"/>
      <c r="AH20" s="33"/>
      <c r="AI20" s="154"/>
      <c r="AJ20" s="154"/>
      <c r="AK20" s="154"/>
      <c r="AL20" s="154"/>
      <c r="AM20" s="154"/>
      <c r="AN20" s="154"/>
      <c r="AO20" s="154"/>
      <c r="AP20" s="154"/>
    </row>
    <row r="21" spans="1:45" s="32" customFormat="1" ht="15">
      <c r="B21" s="57" t="s">
        <v>48</v>
      </c>
      <c r="D21" s="58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3"/>
      <c r="AB21" s="33"/>
      <c r="AC21" s="33"/>
      <c r="AD21" s="33"/>
      <c r="AE21" s="33"/>
      <c r="AF21" s="33"/>
      <c r="AG21" s="33"/>
      <c r="AH21" s="33"/>
      <c r="AI21" s="154"/>
      <c r="AJ21" s="154"/>
      <c r="AK21" s="154"/>
      <c r="AL21" s="154"/>
      <c r="AM21" s="154"/>
      <c r="AN21" s="154"/>
      <c r="AO21" s="154"/>
      <c r="AP21" s="154"/>
    </row>
    <row r="22" spans="1:45" s="32" customFormat="1" ht="12.75"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3"/>
      <c r="AB22" s="33"/>
      <c r="AC22" s="33"/>
      <c r="AD22" s="33"/>
      <c r="AE22" s="33"/>
      <c r="AF22" s="33"/>
      <c r="AG22" s="33"/>
      <c r="AH22" s="33"/>
      <c r="AI22" s="34"/>
      <c r="AJ22" s="33"/>
      <c r="AK22" s="33"/>
      <c r="AL22" s="33"/>
      <c r="AM22" s="35"/>
      <c r="AN22" s="35"/>
      <c r="AO22" s="35"/>
      <c r="AP22" s="35"/>
    </row>
    <row r="23" spans="1:45" s="32" customFormat="1" ht="14.25">
      <c r="C23" s="103"/>
      <c r="D23" s="375" t="s">
        <v>13</v>
      </c>
      <c r="E23" s="375"/>
      <c r="F23" s="375"/>
      <c r="G23" s="375"/>
      <c r="H23" s="104"/>
      <c r="I23" s="104"/>
      <c r="J23" s="104"/>
      <c r="K23" s="376" t="s">
        <v>6</v>
      </c>
      <c r="L23" s="376"/>
      <c r="M23" s="376"/>
      <c r="N23" s="376"/>
      <c r="O23" s="376"/>
      <c r="P23" s="376"/>
      <c r="Q23" s="376"/>
      <c r="R23" s="376"/>
      <c r="S23" s="376"/>
      <c r="T23" s="376"/>
      <c r="U23" s="104"/>
      <c r="V23" s="104"/>
      <c r="W23" s="104"/>
      <c r="X23" s="376" t="s">
        <v>14</v>
      </c>
      <c r="Y23" s="376"/>
      <c r="Z23" s="376"/>
      <c r="AA23" s="376"/>
      <c r="AB23" s="376"/>
      <c r="AC23" s="376"/>
      <c r="AD23" s="376"/>
      <c r="AE23" s="376"/>
      <c r="AF23" s="376"/>
      <c r="AG23" s="376"/>
      <c r="AH23" s="376"/>
      <c r="AI23" s="376"/>
      <c r="AJ23" s="376"/>
      <c r="AK23" s="153"/>
      <c r="AL23" s="104"/>
      <c r="AM23" s="104"/>
      <c r="AN23" s="104"/>
      <c r="AO23" s="375" t="s">
        <v>15</v>
      </c>
      <c r="AP23" s="375"/>
      <c r="AQ23" s="375"/>
      <c r="AR23" s="375"/>
      <c r="AS23" s="375"/>
    </row>
    <row r="24" spans="1:45" s="32" customFormat="1" ht="15">
      <c r="A24" s="43"/>
      <c r="C24" s="116"/>
      <c r="D24" s="116"/>
      <c r="E24" s="203"/>
      <c r="F24" s="203"/>
      <c r="G24" s="203"/>
      <c r="H24" s="203"/>
      <c r="I24" s="203"/>
      <c r="J24" s="203"/>
      <c r="K24" s="203"/>
      <c r="L24" s="203"/>
      <c r="M24" s="203"/>
      <c r="N24" s="203"/>
      <c r="O24" s="203"/>
      <c r="P24" s="203"/>
      <c r="Q24" s="203"/>
      <c r="R24" s="203"/>
      <c r="S24" s="203"/>
      <c r="T24" s="203"/>
      <c r="U24" s="203"/>
      <c r="V24" s="203"/>
      <c r="W24" s="203"/>
      <c r="X24" s="203"/>
      <c r="Y24" s="203"/>
      <c r="Z24" s="203"/>
      <c r="AA24" s="203"/>
      <c r="AB24" s="203"/>
      <c r="AC24" s="203"/>
      <c r="AD24" s="203"/>
      <c r="AE24" s="203"/>
      <c r="AF24" s="203"/>
      <c r="AG24" s="203"/>
      <c r="AH24" s="203"/>
      <c r="AI24" s="203"/>
      <c r="AJ24" s="203"/>
      <c r="AK24" s="203"/>
      <c r="AL24" s="203"/>
      <c r="AM24" s="203"/>
      <c r="AN24" s="203"/>
      <c r="AO24" s="116"/>
      <c r="AP24" s="116"/>
      <c r="AQ24" s="116"/>
      <c r="AR24" s="116"/>
      <c r="AS24" s="116"/>
    </row>
    <row r="25" spans="1:45" s="32" customFormat="1" ht="15">
      <c r="A25" s="43"/>
      <c r="C25" s="116"/>
      <c r="D25" s="116"/>
      <c r="E25" s="203"/>
      <c r="F25" s="203"/>
      <c r="G25" s="203"/>
      <c r="H25" s="203"/>
      <c r="I25" s="203"/>
      <c r="J25" s="203"/>
      <c r="K25" s="203"/>
      <c r="L25" s="203"/>
      <c r="M25" s="203"/>
      <c r="N25" s="203"/>
      <c r="O25" s="203"/>
      <c r="P25" s="203"/>
      <c r="Q25" s="203"/>
      <c r="R25" s="203"/>
      <c r="S25" s="203"/>
      <c r="T25" s="203"/>
      <c r="U25" s="203"/>
      <c r="V25" s="203"/>
      <c r="W25" s="203"/>
      <c r="X25" s="203"/>
      <c r="Y25" s="203"/>
      <c r="Z25" s="203"/>
      <c r="AA25" s="203"/>
      <c r="AB25" s="203"/>
      <c r="AC25" s="203"/>
      <c r="AD25" s="203"/>
      <c r="AE25" s="203"/>
      <c r="AF25" s="203"/>
      <c r="AG25" s="203"/>
      <c r="AH25" s="203"/>
      <c r="AI25" s="203"/>
      <c r="AJ25" s="203"/>
      <c r="AK25" s="203"/>
      <c r="AL25" s="203"/>
      <c r="AM25" s="203"/>
      <c r="AN25" s="203"/>
      <c r="AO25" s="116"/>
      <c r="AP25" s="116"/>
      <c r="AQ25" s="116"/>
      <c r="AR25" s="116"/>
      <c r="AS25" s="116"/>
    </row>
    <row r="26" spans="1:45" s="32" customFormat="1" ht="16.5">
      <c r="A26" s="44"/>
      <c r="C26" s="116"/>
      <c r="D26" s="116"/>
      <c r="E26" s="203"/>
      <c r="F26" s="203"/>
      <c r="G26" s="203"/>
      <c r="H26" s="203"/>
      <c r="I26" s="203"/>
      <c r="J26" s="203"/>
      <c r="K26" s="203"/>
      <c r="L26" s="203"/>
      <c r="M26" s="203"/>
      <c r="N26" s="203"/>
      <c r="O26" s="203"/>
      <c r="P26" s="203"/>
      <c r="Q26" s="203"/>
      <c r="R26" s="203"/>
      <c r="S26" s="203"/>
      <c r="T26" s="203"/>
      <c r="U26" s="203"/>
      <c r="V26" s="203"/>
      <c r="W26" s="203"/>
      <c r="X26" s="203"/>
      <c r="Y26" s="203"/>
      <c r="Z26" s="203"/>
      <c r="AA26" s="203"/>
      <c r="AB26" s="203"/>
      <c r="AC26" s="203"/>
      <c r="AD26" s="203"/>
      <c r="AE26" s="203"/>
      <c r="AF26" s="203"/>
      <c r="AG26" s="203"/>
      <c r="AH26" s="203"/>
      <c r="AI26" s="203"/>
      <c r="AJ26" s="203"/>
      <c r="AK26" s="203"/>
      <c r="AL26" s="203"/>
      <c r="AM26" s="203"/>
      <c r="AN26" s="203"/>
      <c r="AO26" s="116"/>
      <c r="AP26" s="116"/>
      <c r="AQ26" s="116"/>
      <c r="AR26" s="116"/>
      <c r="AS26" s="116"/>
    </row>
    <row r="27" spans="1:45" s="32" customFormat="1" ht="15">
      <c r="A27" s="43"/>
      <c r="C27" s="116"/>
      <c r="D27" s="116"/>
      <c r="E27" s="203"/>
      <c r="F27" s="203"/>
      <c r="G27" s="203"/>
      <c r="H27" s="203"/>
      <c r="I27" s="203"/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  <c r="AA27" s="203"/>
      <c r="AB27" s="203"/>
      <c r="AC27" s="203"/>
      <c r="AD27" s="203"/>
      <c r="AE27" s="203"/>
      <c r="AF27" s="203"/>
      <c r="AG27" s="203"/>
      <c r="AH27" s="203"/>
      <c r="AI27" s="203"/>
      <c r="AJ27" s="203"/>
      <c r="AK27" s="203"/>
      <c r="AL27" s="203"/>
      <c r="AM27" s="203"/>
      <c r="AN27" s="203"/>
      <c r="AO27" s="116"/>
      <c r="AP27" s="116"/>
      <c r="AQ27" s="116"/>
      <c r="AR27" s="116"/>
      <c r="AS27" s="116"/>
    </row>
    <row r="28" spans="1:45" s="32" customFormat="1" ht="15">
      <c r="A28" s="43"/>
      <c r="C28" s="116"/>
      <c r="D28" s="116"/>
      <c r="E28" s="203"/>
      <c r="F28" s="203"/>
      <c r="G28" s="203"/>
      <c r="H28" s="203"/>
      <c r="I28" s="203"/>
      <c r="J28" s="203"/>
      <c r="K28" s="203"/>
      <c r="L28" s="203"/>
      <c r="M28" s="203"/>
      <c r="N28" s="203"/>
      <c r="O28" s="203"/>
      <c r="P28" s="203"/>
      <c r="Q28" s="203"/>
      <c r="R28" s="203"/>
      <c r="S28" s="203"/>
      <c r="T28" s="203"/>
      <c r="U28" s="203"/>
      <c r="V28" s="203"/>
      <c r="W28" s="203"/>
      <c r="X28" s="203"/>
      <c r="Y28" s="203"/>
      <c r="Z28" s="203"/>
      <c r="AA28" s="203"/>
      <c r="AB28" s="203"/>
      <c r="AC28" s="203"/>
      <c r="AD28" s="203"/>
      <c r="AE28" s="203"/>
      <c r="AF28" s="203"/>
      <c r="AG28" s="203"/>
      <c r="AH28" s="203"/>
      <c r="AI28" s="203"/>
      <c r="AJ28" s="203"/>
      <c r="AK28" s="203"/>
      <c r="AL28" s="203"/>
      <c r="AM28" s="203"/>
      <c r="AN28" s="203"/>
      <c r="AO28" s="116"/>
      <c r="AP28" s="116"/>
      <c r="AQ28" s="116"/>
      <c r="AR28" s="116"/>
      <c r="AS28" s="116"/>
    </row>
    <row r="29" spans="1:45" s="32" customFormat="1" ht="15">
      <c r="A29" s="43"/>
      <c r="C29" s="116"/>
      <c r="D29" s="116"/>
      <c r="E29" s="203"/>
      <c r="F29" s="203"/>
      <c r="G29" s="203"/>
      <c r="H29" s="203"/>
      <c r="I29" s="203"/>
      <c r="J29" s="203"/>
      <c r="K29" s="203"/>
      <c r="L29" s="203"/>
      <c r="M29" s="203"/>
      <c r="N29" s="203"/>
      <c r="O29" s="203"/>
      <c r="P29" s="203"/>
      <c r="Q29" s="203"/>
      <c r="R29" s="203"/>
      <c r="S29" s="203"/>
      <c r="T29" s="203"/>
      <c r="U29" s="203"/>
      <c r="V29" s="203"/>
      <c r="W29" s="203"/>
      <c r="X29" s="203"/>
      <c r="Y29" s="203"/>
      <c r="Z29" s="203"/>
      <c r="AA29" s="203"/>
      <c r="AB29" s="203"/>
      <c r="AC29" s="203"/>
      <c r="AD29" s="203"/>
      <c r="AE29" s="203"/>
      <c r="AF29" s="203"/>
      <c r="AG29" s="203"/>
      <c r="AH29" s="203"/>
      <c r="AI29" s="203"/>
      <c r="AJ29" s="203"/>
      <c r="AK29" s="203"/>
      <c r="AL29" s="203"/>
      <c r="AM29" s="203"/>
      <c r="AN29" s="203"/>
      <c r="AO29" s="116"/>
      <c r="AP29" s="116"/>
      <c r="AQ29" s="116"/>
      <c r="AR29" s="116"/>
      <c r="AS29" s="116"/>
    </row>
    <row r="30" spans="1:45" s="118" customFormat="1" ht="15">
      <c r="A30" s="117"/>
      <c r="C30" s="204"/>
      <c r="D30" s="119" t="s">
        <v>82</v>
      </c>
      <c r="E30" s="119"/>
      <c r="F30" s="119"/>
      <c r="G30" s="119"/>
      <c r="H30" s="205"/>
      <c r="I30" s="205"/>
      <c r="J30" s="205"/>
      <c r="K30" s="205"/>
      <c r="L30" s="374" t="s">
        <v>120</v>
      </c>
      <c r="M30" s="374"/>
      <c r="N30" s="374"/>
      <c r="O30" s="374"/>
      <c r="P30" s="374"/>
      <c r="Q30" s="374"/>
      <c r="R30" s="374"/>
      <c r="S30" s="374"/>
      <c r="T30" s="205"/>
      <c r="U30" s="205"/>
      <c r="V30" s="205"/>
      <c r="W30" s="205"/>
      <c r="X30" s="205"/>
      <c r="Y30" s="205"/>
      <c r="Z30" s="205"/>
      <c r="AA30" s="205"/>
      <c r="AB30" s="240" t="s">
        <v>90</v>
      </c>
      <c r="AC30" s="240"/>
      <c r="AD30" s="240"/>
      <c r="AE30" s="240"/>
      <c r="AF30" s="240"/>
      <c r="AG30" s="205"/>
      <c r="AH30" s="205"/>
      <c r="AI30" s="205"/>
      <c r="AJ30" s="205"/>
      <c r="AK30" s="205"/>
      <c r="AL30" s="205"/>
      <c r="AM30" s="205"/>
      <c r="AN30" s="205"/>
      <c r="AO30" s="204"/>
      <c r="AP30" s="377" t="s">
        <v>78</v>
      </c>
      <c r="AQ30" s="377"/>
      <c r="AR30" s="377"/>
      <c r="AS30" s="204"/>
    </row>
    <row r="31" spans="1:45" s="32" customFormat="1" ht="15">
      <c r="A31" s="43"/>
      <c r="C31" s="116"/>
      <c r="D31" s="373"/>
      <c r="E31" s="373"/>
      <c r="F31" s="373"/>
      <c r="G31" s="203"/>
      <c r="H31" s="203"/>
      <c r="I31" s="203"/>
      <c r="J31" s="203"/>
      <c r="K31" s="203"/>
      <c r="L31" s="203"/>
      <c r="M31" s="203"/>
      <c r="N31" s="203"/>
      <c r="O31" s="203"/>
      <c r="P31" s="203"/>
      <c r="Q31" s="203"/>
      <c r="R31" s="203"/>
      <c r="S31" s="203"/>
      <c r="T31" s="203"/>
      <c r="U31" s="203"/>
      <c r="V31" s="203"/>
      <c r="W31" s="203"/>
      <c r="X31" s="203"/>
      <c r="Y31" s="203"/>
      <c r="Z31" s="203"/>
      <c r="AA31" s="206"/>
      <c r="AB31" s="378"/>
      <c r="AC31" s="378"/>
      <c r="AD31" s="378"/>
      <c r="AE31" s="378"/>
      <c r="AF31" s="378"/>
      <c r="AG31" s="207"/>
      <c r="AH31" s="206"/>
      <c r="AI31" s="206"/>
      <c r="AJ31" s="203"/>
      <c r="AK31" s="203"/>
      <c r="AL31" s="203"/>
      <c r="AM31" s="203"/>
      <c r="AN31" s="203"/>
      <c r="AO31" s="373"/>
      <c r="AP31" s="373"/>
      <c r="AQ31" s="373"/>
      <c r="AR31" s="373"/>
      <c r="AS31" s="373"/>
    </row>
    <row r="32" spans="1:45" s="32" customFormat="1" ht="15">
      <c r="A32" s="43"/>
      <c r="C32" s="116"/>
      <c r="D32" s="116"/>
      <c r="E32" s="203"/>
      <c r="F32" s="203"/>
      <c r="G32" s="203"/>
      <c r="H32" s="203"/>
      <c r="I32" s="203"/>
      <c r="J32" s="203"/>
      <c r="K32" s="203"/>
      <c r="L32" s="203"/>
      <c r="M32" s="203"/>
      <c r="N32" s="203"/>
      <c r="O32" s="203"/>
      <c r="P32" s="203"/>
      <c r="Q32" s="203"/>
      <c r="R32" s="203"/>
      <c r="S32" s="203"/>
      <c r="T32" s="203"/>
      <c r="U32" s="203"/>
      <c r="V32" s="203"/>
      <c r="W32" s="203"/>
      <c r="X32" s="203"/>
      <c r="Y32" s="203"/>
      <c r="Z32" s="203"/>
      <c r="AA32" s="203"/>
      <c r="AB32" s="203"/>
      <c r="AC32" s="203"/>
      <c r="AD32" s="203"/>
      <c r="AE32" s="203"/>
      <c r="AF32" s="203"/>
      <c r="AG32" s="203"/>
      <c r="AH32" s="203"/>
      <c r="AI32" s="203"/>
      <c r="AJ32" s="203"/>
      <c r="AK32" s="203"/>
      <c r="AL32" s="203"/>
      <c r="AM32" s="203"/>
      <c r="AN32" s="203"/>
      <c r="AO32" s="116"/>
      <c r="AP32" s="116"/>
      <c r="AQ32" s="116"/>
      <c r="AR32" s="116"/>
      <c r="AS32" s="116"/>
    </row>
    <row r="33" spans="1:45" s="32" customFormat="1" ht="15">
      <c r="A33" s="43"/>
      <c r="C33" s="116"/>
      <c r="D33" s="116"/>
      <c r="E33" s="203"/>
      <c r="F33" s="203"/>
      <c r="G33" s="203"/>
      <c r="H33" s="203"/>
      <c r="I33" s="203"/>
      <c r="J33" s="203"/>
      <c r="K33" s="203"/>
      <c r="L33" s="203"/>
      <c r="M33" s="203"/>
      <c r="N33" s="203"/>
      <c r="O33" s="203"/>
      <c r="P33" s="203"/>
      <c r="Q33" s="203"/>
      <c r="R33" s="203"/>
      <c r="S33" s="203"/>
      <c r="T33" s="203"/>
      <c r="U33" s="203"/>
      <c r="V33" s="203"/>
      <c r="W33" s="203"/>
      <c r="X33" s="203"/>
      <c r="Y33" s="203"/>
      <c r="Z33" s="203"/>
      <c r="AA33" s="203"/>
      <c r="AB33" s="203"/>
      <c r="AC33" s="203"/>
      <c r="AD33" s="203"/>
      <c r="AE33" s="203"/>
      <c r="AF33" s="203"/>
      <c r="AG33" s="203"/>
      <c r="AH33" s="203"/>
      <c r="AI33" s="203"/>
      <c r="AJ33" s="203"/>
      <c r="AK33" s="203"/>
      <c r="AL33" s="203"/>
      <c r="AM33" s="203"/>
      <c r="AN33" s="203"/>
      <c r="AO33" s="116"/>
      <c r="AP33" s="116"/>
      <c r="AQ33" s="116"/>
      <c r="AR33" s="116"/>
      <c r="AS33" s="116"/>
    </row>
    <row r="34" spans="1:45" s="32" customFormat="1" ht="15">
      <c r="A34" s="43"/>
      <c r="C34" s="116"/>
      <c r="D34" s="116"/>
      <c r="E34" s="203"/>
      <c r="F34" s="203"/>
      <c r="G34" s="203"/>
      <c r="H34" s="203"/>
      <c r="I34" s="203"/>
      <c r="J34" s="203"/>
      <c r="K34" s="203"/>
      <c r="L34" s="203"/>
      <c r="M34" s="203"/>
      <c r="N34" s="203"/>
      <c r="O34" s="203"/>
      <c r="P34" s="203"/>
      <c r="Q34" s="203"/>
      <c r="R34" s="203"/>
      <c r="S34" s="203"/>
      <c r="T34" s="203"/>
      <c r="U34" s="203"/>
      <c r="V34" s="203"/>
      <c r="W34" s="203"/>
      <c r="X34" s="203"/>
      <c r="Y34" s="203"/>
      <c r="Z34" s="203"/>
      <c r="AA34" s="203"/>
      <c r="AB34" s="203"/>
      <c r="AC34" s="203"/>
      <c r="AD34" s="203"/>
      <c r="AE34" s="203"/>
      <c r="AF34" s="203"/>
      <c r="AG34" s="203"/>
      <c r="AH34" s="203"/>
      <c r="AI34" s="203"/>
      <c r="AJ34" s="203"/>
      <c r="AK34" s="203"/>
      <c r="AL34" s="203"/>
      <c r="AM34" s="203"/>
      <c r="AN34" s="203"/>
      <c r="AO34" s="116"/>
      <c r="AP34" s="116"/>
      <c r="AQ34" s="116"/>
      <c r="AR34" s="116"/>
      <c r="AS34" s="116"/>
    </row>
    <row r="35" spans="1:45" s="32" customFormat="1">
      <c r="A35" s="43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2"/>
      <c r="AJ35" s="40"/>
      <c r="AK35" s="40"/>
      <c r="AL35" s="40"/>
    </row>
    <row r="36" spans="1:45" s="32" customFormat="1">
      <c r="A36" s="43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2"/>
      <c r="AJ36" s="40"/>
      <c r="AK36" s="40"/>
      <c r="AL36" s="40"/>
    </row>
    <row r="37" spans="1:45" s="32" customFormat="1">
      <c r="A37" s="43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2"/>
      <c r="AJ37" s="40"/>
      <c r="AK37" s="40"/>
      <c r="AL37" s="40"/>
    </row>
    <row r="38" spans="1:45" s="32" customFormat="1">
      <c r="A38" s="43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2"/>
      <c r="AJ38" s="40"/>
      <c r="AK38" s="40"/>
      <c r="AL38" s="40"/>
    </row>
    <row r="39" spans="1:45" s="32" customFormat="1">
      <c r="A39" s="43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2"/>
      <c r="AJ39" s="40"/>
      <c r="AK39" s="40"/>
      <c r="AL39" s="40"/>
    </row>
    <row r="40" spans="1:45" s="32" customFormat="1">
      <c r="A40" s="43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2"/>
      <c r="AJ40" s="40"/>
      <c r="AK40" s="40"/>
      <c r="AL40" s="40"/>
    </row>
    <row r="41" spans="1:45" s="32" customFormat="1">
      <c r="A41" s="43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2"/>
      <c r="AJ41" s="40"/>
      <c r="AK41" s="40"/>
      <c r="AL41" s="40"/>
    </row>
    <row r="42" spans="1:45" s="32" customFormat="1">
      <c r="A42" s="43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2"/>
      <c r="AJ42" s="40"/>
      <c r="AK42" s="40"/>
      <c r="AL42" s="40"/>
    </row>
    <row r="43" spans="1:45" s="32" customFormat="1">
      <c r="A43" s="43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  <c r="AI43" s="42"/>
      <c r="AJ43" s="40"/>
      <c r="AK43" s="40"/>
      <c r="AL43" s="40"/>
    </row>
    <row r="44" spans="1:45" s="32" customFormat="1">
      <c r="A44" s="43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  <c r="AI44" s="42"/>
      <c r="AJ44" s="40"/>
      <c r="AK44" s="40"/>
      <c r="AL44" s="40"/>
    </row>
    <row r="45" spans="1:45" s="32" customFormat="1">
      <c r="A45" s="43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  <c r="AF45" s="40"/>
      <c r="AG45" s="40"/>
      <c r="AH45" s="40"/>
      <c r="AI45" s="42"/>
      <c r="AJ45" s="40"/>
      <c r="AK45" s="40"/>
      <c r="AL45" s="40"/>
    </row>
    <row r="46" spans="1:45" s="32" customFormat="1">
      <c r="A46" s="43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  <c r="AI46" s="42"/>
      <c r="AJ46" s="40"/>
      <c r="AK46" s="40"/>
      <c r="AL46" s="40"/>
    </row>
    <row r="47" spans="1:45" s="32" customFormat="1">
      <c r="A47" s="43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40"/>
      <c r="AH47" s="40"/>
      <c r="AI47" s="42"/>
      <c r="AJ47" s="40"/>
      <c r="AK47" s="40"/>
      <c r="AL47" s="40"/>
    </row>
    <row r="48" spans="1:45" s="32" customFormat="1">
      <c r="A48" s="43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  <c r="AI48" s="42"/>
      <c r="AJ48" s="40"/>
      <c r="AK48" s="40"/>
      <c r="AL48" s="40"/>
    </row>
    <row r="49" spans="1:38" s="32" customFormat="1">
      <c r="A49" s="43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0"/>
      <c r="AI49" s="42"/>
      <c r="AJ49" s="40"/>
      <c r="AK49" s="40"/>
      <c r="AL49" s="40"/>
    </row>
    <row r="50" spans="1:38" s="32" customFormat="1">
      <c r="A50" s="43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  <c r="AF50" s="40"/>
      <c r="AG50" s="40"/>
      <c r="AH50" s="40"/>
      <c r="AI50" s="42"/>
      <c r="AJ50" s="40"/>
      <c r="AK50" s="40"/>
      <c r="AL50" s="40"/>
    </row>
    <row r="51" spans="1:38" s="32" customFormat="1">
      <c r="A51" s="43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40"/>
      <c r="AF51" s="40"/>
      <c r="AG51" s="40"/>
      <c r="AH51" s="40"/>
      <c r="AI51" s="42"/>
      <c r="AJ51" s="40"/>
      <c r="AK51" s="40"/>
      <c r="AL51" s="40"/>
    </row>
    <row r="52" spans="1:38" s="32" customFormat="1">
      <c r="A52" s="43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  <c r="AF52" s="40"/>
      <c r="AG52" s="40"/>
      <c r="AH52" s="40"/>
      <c r="AI52" s="42"/>
      <c r="AJ52" s="40"/>
      <c r="AK52" s="40"/>
      <c r="AL52" s="40"/>
    </row>
    <row r="53" spans="1:38" s="32" customFormat="1">
      <c r="A53" s="43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/>
      <c r="AF53" s="40"/>
      <c r="AG53" s="40"/>
      <c r="AH53" s="40"/>
      <c r="AI53" s="42"/>
      <c r="AJ53" s="40"/>
      <c r="AK53" s="40"/>
      <c r="AL53" s="40"/>
    </row>
    <row r="54" spans="1:38" s="32" customFormat="1">
      <c r="A54" s="43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0"/>
      <c r="AE54" s="40"/>
      <c r="AF54" s="40"/>
      <c r="AG54" s="40"/>
      <c r="AH54" s="40"/>
      <c r="AI54" s="42"/>
      <c r="AJ54" s="40"/>
      <c r="AK54" s="40"/>
      <c r="AL54" s="40"/>
    </row>
    <row r="55" spans="1:38" s="32" customFormat="1">
      <c r="A55" s="43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0"/>
      <c r="AE55" s="40"/>
      <c r="AF55" s="40"/>
      <c r="AG55" s="40"/>
      <c r="AH55" s="40"/>
      <c r="AI55" s="42"/>
      <c r="AJ55" s="40"/>
      <c r="AK55" s="40"/>
      <c r="AL55" s="40"/>
    </row>
    <row r="56" spans="1:38" s="32" customFormat="1">
      <c r="A56" s="43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40"/>
      <c r="AF56" s="40"/>
      <c r="AG56" s="40"/>
      <c r="AH56" s="40"/>
      <c r="AI56" s="42"/>
      <c r="AJ56" s="40"/>
      <c r="AK56" s="40"/>
      <c r="AL56" s="40"/>
    </row>
    <row r="57" spans="1:38" s="32" customFormat="1">
      <c r="A57" s="43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  <c r="AF57" s="40"/>
      <c r="AG57" s="40"/>
      <c r="AH57" s="40"/>
      <c r="AI57" s="42"/>
      <c r="AJ57" s="40"/>
      <c r="AK57" s="40"/>
      <c r="AL57" s="40"/>
    </row>
    <row r="58" spans="1:38" s="32" customFormat="1">
      <c r="A58" s="43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  <c r="AF58" s="40"/>
      <c r="AG58" s="40"/>
      <c r="AH58" s="40"/>
      <c r="AI58" s="42"/>
      <c r="AJ58" s="40"/>
      <c r="AK58" s="40"/>
      <c r="AL58" s="40"/>
    </row>
    <row r="59" spans="1:38" s="32" customFormat="1">
      <c r="A59" s="43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F59" s="40"/>
      <c r="AG59" s="40"/>
      <c r="AH59" s="40"/>
      <c r="AI59" s="42"/>
      <c r="AJ59" s="40"/>
      <c r="AK59" s="40"/>
      <c r="AL59" s="40"/>
    </row>
    <row r="60" spans="1:38" s="32" customFormat="1">
      <c r="A60" s="43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2"/>
      <c r="AJ60" s="40"/>
      <c r="AK60" s="40"/>
      <c r="AL60" s="40"/>
    </row>
    <row r="61" spans="1:38" s="32" customFormat="1">
      <c r="A61" s="43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  <c r="AE61" s="40"/>
      <c r="AF61" s="40"/>
      <c r="AG61" s="40"/>
      <c r="AH61" s="40"/>
      <c r="AI61" s="42"/>
      <c r="AJ61" s="40"/>
      <c r="AK61" s="40"/>
      <c r="AL61" s="40"/>
    </row>
    <row r="62" spans="1:38" s="32" customFormat="1">
      <c r="A62" s="43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  <c r="AF62" s="40"/>
      <c r="AG62" s="40"/>
      <c r="AH62" s="40"/>
      <c r="AI62" s="42"/>
      <c r="AJ62" s="40"/>
      <c r="AK62" s="40"/>
      <c r="AL62" s="40"/>
    </row>
    <row r="63" spans="1:38" s="32" customFormat="1">
      <c r="A63" s="43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0"/>
      <c r="AE63" s="40"/>
      <c r="AF63" s="40"/>
      <c r="AG63" s="40"/>
      <c r="AH63" s="40"/>
      <c r="AI63" s="42"/>
      <c r="AJ63" s="40"/>
      <c r="AK63" s="40"/>
      <c r="AL63" s="40"/>
    </row>
    <row r="64" spans="1:38" s="32" customFormat="1">
      <c r="A64" s="43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0"/>
      <c r="AB64" s="40"/>
      <c r="AC64" s="40"/>
      <c r="AD64" s="40"/>
      <c r="AE64" s="40"/>
      <c r="AF64" s="40"/>
      <c r="AG64" s="40"/>
      <c r="AH64" s="40"/>
      <c r="AI64" s="42"/>
      <c r="AJ64" s="40"/>
      <c r="AK64" s="40"/>
      <c r="AL64" s="40"/>
    </row>
    <row r="65" spans="1:38" s="32" customFormat="1">
      <c r="A65" s="43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0"/>
      <c r="AE65" s="40"/>
      <c r="AF65" s="40"/>
      <c r="AG65" s="40"/>
      <c r="AH65" s="40"/>
      <c r="AI65" s="42"/>
      <c r="AJ65" s="40"/>
      <c r="AK65" s="40"/>
      <c r="AL65" s="40"/>
    </row>
    <row r="66" spans="1:38" s="32" customFormat="1">
      <c r="A66" s="43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0"/>
      <c r="AE66" s="40"/>
      <c r="AF66" s="40"/>
      <c r="AG66" s="40"/>
      <c r="AH66" s="40"/>
      <c r="AI66" s="42"/>
      <c r="AJ66" s="40"/>
      <c r="AK66" s="40"/>
      <c r="AL66" s="40"/>
    </row>
    <row r="67" spans="1:38" s="32" customFormat="1">
      <c r="A67" s="43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0"/>
      <c r="AE67" s="40"/>
      <c r="AF67" s="40"/>
      <c r="AG67" s="40"/>
      <c r="AH67" s="40"/>
      <c r="AI67" s="42"/>
      <c r="AJ67" s="40"/>
      <c r="AK67" s="40"/>
      <c r="AL67" s="40"/>
    </row>
    <row r="68" spans="1:38" s="32" customFormat="1">
      <c r="A68" s="43"/>
      <c r="D68" s="40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0"/>
      <c r="AB68" s="40"/>
      <c r="AC68" s="40"/>
      <c r="AD68" s="40"/>
      <c r="AE68" s="40"/>
      <c r="AF68" s="40"/>
      <c r="AG68" s="40"/>
      <c r="AH68" s="40"/>
      <c r="AI68" s="42"/>
      <c r="AJ68" s="40"/>
      <c r="AK68" s="40"/>
      <c r="AL68" s="40"/>
    </row>
    <row r="69" spans="1:38" s="32" customFormat="1">
      <c r="A69" s="43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  <c r="AA69" s="40"/>
      <c r="AB69" s="40"/>
      <c r="AC69" s="40"/>
      <c r="AD69" s="40"/>
      <c r="AE69" s="40"/>
      <c r="AF69" s="40"/>
      <c r="AG69" s="40"/>
      <c r="AH69" s="40"/>
      <c r="AI69" s="42"/>
      <c r="AJ69" s="40"/>
      <c r="AK69" s="40"/>
      <c r="AL69" s="40"/>
    </row>
    <row r="70" spans="1:38" s="32" customFormat="1">
      <c r="A70" s="43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0"/>
      <c r="AB70" s="40"/>
      <c r="AC70" s="40"/>
      <c r="AD70" s="40"/>
      <c r="AE70" s="40"/>
      <c r="AF70" s="40"/>
      <c r="AG70" s="40"/>
      <c r="AH70" s="40"/>
      <c r="AI70" s="42"/>
      <c r="AJ70" s="40"/>
      <c r="AK70" s="40"/>
      <c r="AL70" s="40"/>
    </row>
    <row r="71" spans="1:38" s="32" customFormat="1">
      <c r="A71" s="43"/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  <c r="AA71" s="40"/>
      <c r="AB71" s="40"/>
      <c r="AC71" s="40"/>
      <c r="AD71" s="40"/>
      <c r="AE71" s="40"/>
      <c r="AF71" s="40"/>
      <c r="AG71" s="40"/>
      <c r="AH71" s="40"/>
      <c r="AI71" s="42"/>
      <c r="AJ71" s="40"/>
      <c r="AK71" s="40"/>
      <c r="AL71" s="40"/>
    </row>
    <row r="72" spans="1:38" s="32" customFormat="1">
      <c r="A72" s="43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0"/>
      <c r="AB72" s="40"/>
      <c r="AC72" s="40"/>
      <c r="AD72" s="40"/>
      <c r="AE72" s="40"/>
      <c r="AF72" s="40"/>
      <c r="AG72" s="40"/>
      <c r="AH72" s="40"/>
      <c r="AI72" s="42"/>
      <c r="AJ72" s="40"/>
      <c r="AK72" s="40"/>
      <c r="AL72" s="40"/>
    </row>
    <row r="73" spans="1:38" s="32" customFormat="1">
      <c r="A73" s="43"/>
      <c r="D73" s="40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  <c r="AA73" s="40"/>
      <c r="AB73" s="40"/>
      <c r="AC73" s="40"/>
      <c r="AD73" s="40"/>
      <c r="AE73" s="40"/>
      <c r="AF73" s="40"/>
      <c r="AG73" s="40"/>
      <c r="AH73" s="40"/>
      <c r="AI73" s="42"/>
      <c r="AJ73" s="40"/>
      <c r="AK73" s="40"/>
      <c r="AL73" s="40"/>
    </row>
    <row r="74" spans="1:38" s="32" customFormat="1">
      <c r="A74" s="43"/>
      <c r="D74" s="40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0"/>
      <c r="AE74" s="40"/>
      <c r="AF74" s="40"/>
      <c r="AG74" s="40"/>
      <c r="AH74" s="40"/>
      <c r="AI74" s="42"/>
      <c r="AJ74" s="40"/>
      <c r="AK74" s="40"/>
      <c r="AL74" s="40"/>
    </row>
    <row r="75" spans="1:38" s="32" customFormat="1">
      <c r="A75" s="43"/>
      <c r="D75" s="40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  <c r="AB75" s="40"/>
      <c r="AC75" s="40"/>
      <c r="AD75" s="40"/>
      <c r="AE75" s="40"/>
      <c r="AF75" s="40"/>
      <c r="AG75" s="40"/>
      <c r="AH75" s="40"/>
      <c r="AI75" s="42"/>
      <c r="AJ75" s="40"/>
      <c r="AK75" s="40"/>
      <c r="AL75" s="40"/>
    </row>
    <row r="76" spans="1:38" s="32" customFormat="1">
      <c r="A76" s="43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40"/>
      <c r="AF76" s="40"/>
      <c r="AG76" s="40"/>
      <c r="AH76" s="40"/>
      <c r="AI76" s="42"/>
      <c r="AJ76" s="40"/>
      <c r="AK76" s="40"/>
      <c r="AL76" s="40"/>
    </row>
    <row r="77" spans="1:38" s="32" customFormat="1">
      <c r="A77" s="43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40"/>
      <c r="AD77" s="40"/>
      <c r="AE77" s="40"/>
      <c r="AF77" s="40"/>
      <c r="AG77" s="40"/>
      <c r="AH77" s="40"/>
      <c r="AI77" s="42"/>
      <c r="AJ77" s="40"/>
      <c r="AK77" s="40"/>
      <c r="AL77" s="40"/>
    </row>
    <row r="78" spans="1:38" s="32" customFormat="1">
      <c r="A78" s="43"/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0"/>
      <c r="AB78" s="40"/>
      <c r="AC78" s="40"/>
      <c r="AD78" s="40"/>
      <c r="AE78" s="40"/>
      <c r="AF78" s="40"/>
      <c r="AG78" s="40"/>
      <c r="AH78" s="40"/>
      <c r="AI78" s="42"/>
      <c r="AJ78" s="40"/>
      <c r="AK78" s="40"/>
      <c r="AL78" s="40"/>
    </row>
    <row r="79" spans="1:38" s="32" customFormat="1">
      <c r="A79" s="43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  <c r="AF79" s="40"/>
      <c r="AG79" s="40"/>
      <c r="AH79" s="40"/>
      <c r="AI79" s="42"/>
      <c r="AJ79" s="40"/>
      <c r="AK79" s="40"/>
      <c r="AL79" s="40"/>
    </row>
    <row r="80" spans="1:38" s="32" customFormat="1">
      <c r="A80" s="43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  <c r="AA80" s="40"/>
      <c r="AB80" s="40"/>
      <c r="AC80" s="40"/>
      <c r="AD80" s="40"/>
      <c r="AE80" s="40"/>
      <c r="AF80" s="40"/>
      <c r="AG80" s="40"/>
      <c r="AH80" s="40"/>
      <c r="AI80" s="42"/>
      <c r="AJ80" s="40"/>
      <c r="AK80" s="40"/>
      <c r="AL80" s="40"/>
    </row>
    <row r="81" spans="1:38" s="32" customFormat="1">
      <c r="A81" s="43"/>
      <c r="D81" s="40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  <c r="AA81" s="40"/>
      <c r="AB81" s="40"/>
      <c r="AC81" s="40"/>
      <c r="AD81" s="40"/>
      <c r="AE81" s="40"/>
      <c r="AF81" s="40"/>
      <c r="AG81" s="40"/>
      <c r="AH81" s="40"/>
      <c r="AI81" s="42"/>
      <c r="AJ81" s="40"/>
      <c r="AK81" s="40"/>
      <c r="AL81" s="40"/>
    </row>
    <row r="82" spans="1:38" s="32" customFormat="1">
      <c r="A82" s="43"/>
      <c r="D82" s="40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  <c r="AA82" s="40"/>
      <c r="AB82" s="40"/>
      <c r="AC82" s="40"/>
      <c r="AD82" s="40"/>
      <c r="AE82" s="40"/>
      <c r="AF82" s="40"/>
      <c r="AG82" s="40"/>
      <c r="AH82" s="40"/>
      <c r="AI82" s="42"/>
      <c r="AJ82" s="40"/>
      <c r="AK82" s="40"/>
      <c r="AL82" s="40"/>
    </row>
    <row r="83" spans="1:38" s="32" customFormat="1">
      <c r="A83" s="43"/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  <c r="AA83" s="40"/>
      <c r="AB83" s="40"/>
      <c r="AC83" s="40"/>
      <c r="AD83" s="40"/>
      <c r="AE83" s="40"/>
      <c r="AF83" s="40"/>
      <c r="AG83" s="40"/>
      <c r="AH83" s="40"/>
      <c r="AI83" s="42"/>
      <c r="AJ83" s="40"/>
      <c r="AK83" s="40"/>
      <c r="AL83" s="40"/>
    </row>
    <row r="84" spans="1:38" s="32" customFormat="1">
      <c r="A84" s="43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  <c r="AA84" s="40"/>
      <c r="AB84" s="40"/>
      <c r="AC84" s="40"/>
      <c r="AD84" s="40"/>
      <c r="AE84" s="40"/>
      <c r="AF84" s="40"/>
      <c r="AG84" s="40"/>
      <c r="AH84" s="40"/>
      <c r="AI84" s="42"/>
      <c r="AJ84" s="40"/>
      <c r="AK84" s="40"/>
      <c r="AL84" s="40"/>
    </row>
    <row r="85" spans="1:38" s="32" customFormat="1">
      <c r="A85" s="43"/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0"/>
      <c r="AB85" s="40"/>
      <c r="AC85" s="40"/>
      <c r="AD85" s="40"/>
      <c r="AE85" s="40"/>
      <c r="AF85" s="40"/>
      <c r="AG85" s="40"/>
      <c r="AH85" s="40"/>
      <c r="AI85" s="42"/>
      <c r="AJ85" s="40"/>
      <c r="AK85" s="40"/>
      <c r="AL85" s="40"/>
    </row>
    <row r="86" spans="1:38" s="32" customFormat="1">
      <c r="A86" s="43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  <c r="AA86" s="40"/>
      <c r="AB86" s="40"/>
      <c r="AC86" s="40"/>
      <c r="AD86" s="40"/>
      <c r="AE86" s="40"/>
      <c r="AF86" s="40"/>
      <c r="AG86" s="40"/>
      <c r="AH86" s="40"/>
      <c r="AI86" s="42"/>
      <c r="AJ86" s="40"/>
      <c r="AK86" s="40"/>
      <c r="AL86" s="40"/>
    </row>
    <row r="87" spans="1:38" s="32" customFormat="1">
      <c r="A87" s="43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0"/>
      <c r="AB87" s="40"/>
      <c r="AC87" s="40"/>
      <c r="AD87" s="40"/>
      <c r="AE87" s="40"/>
      <c r="AF87" s="40"/>
      <c r="AG87" s="40"/>
      <c r="AH87" s="40"/>
      <c r="AI87" s="42"/>
      <c r="AJ87" s="40"/>
      <c r="AK87" s="40"/>
      <c r="AL87" s="40"/>
    </row>
    <row r="88" spans="1:38" s="32" customFormat="1">
      <c r="A88" s="43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  <c r="AA88" s="40"/>
      <c r="AB88" s="40"/>
      <c r="AC88" s="40"/>
      <c r="AD88" s="40"/>
      <c r="AE88" s="40"/>
      <c r="AF88" s="40"/>
      <c r="AG88" s="40"/>
      <c r="AH88" s="40"/>
      <c r="AI88" s="42"/>
      <c r="AJ88" s="40"/>
      <c r="AK88" s="40"/>
      <c r="AL88" s="40"/>
    </row>
    <row r="89" spans="1:38" s="32" customFormat="1">
      <c r="A89" s="43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  <c r="AA89" s="40"/>
      <c r="AB89" s="40"/>
      <c r="AC89" s="40"/>
      <c r="AD89" s="40"/>
      <c r="AE89" s="40"/>
      <c r="AF89" s="40"/>
      <c r="AG89" s="40"/>
      <c r="AH89" s="40"/>
      <c r="AI89" s="42"/>
      <c r="AJ89" s="40"/>
      <c r="AK89" s="40"/>
      <c r="AL89" s="40"/>
    </row>
    <row r="90" spans="1:38" s="32" customFormat="1">
      <c r="A90" s="43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  <c r="AA90" s="40"/>
      <c r="AB90" s="40"/>
      <c r="AC90" s="40"/>
      <c r="AD90" s="40"/>
      <c r="AE90" s="40"/>
      <c r="AF90" s="40"/>
      <c r="AG90" s="40"/>
      <c r="AH90" s="40"/>
      <c r="AI90" s="42"/>
      <c r="AJ90" s="40"/>
      <c r="AK90" s="40"/>
      <c r="AL90" s="40"/>
    </row>
    <row r="91" spans="1:38" s="32" customFormat="1">
      <c r="A91" s="43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  <c r="AA91" s="40"/>
      <c r="AB91" s="40"/>
      <c r="AC91" s="40"/>
      <c r="AD91" s="40"/>
      <c r="AE91" s="40"/>
      <c r="AF91" s="40"/>
      <c r="AG91" s="40"/>
      <c r="AH91" s="40"/>
      <c r="AI91" s="42"/>
      <c r="AJ91" s="40"/>
      <c r="AK91" s="40"/>
      <c r="AL91" s="40"/>
    </row>
    <row r="92" spans="1:38" s="32" customFormat="1">
      <c r="A92" s="43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  <c r="AA92" s="40"/>
      <c r="AB92" s="40"/>
      <c r="AC92" s="40"/>
      <c r="AD92" s="40"/>
      <c r="AE92" s="40"/>
      <c r="AF92" s="40"/>
      <c r="AG92" s="40"/>
      <c r="AH92" s="40"/>
      <c r="AI92" s="42"/>
      <c r="AJ92" s="40"/>
      <c r="AK92" s="40"/>
      <c r="AL92" s="40"/>
    </row>
    <row r="93" spans="1:38" s="32" customFormat="1">
      <c r="A93" s="43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  <c r="AA93" s="40"/>
      <c r="AB93" s="40"/>
      <c r="AC93" s="40"/>
      <c r="AD93" s="40"/>
      <c r="AE93" s="40"/>
      <c r="AF93" s="40"/>
      <c r="AG93" s="40"/>
      <c r="AH93" s="40"/>
      <c r="AI93" s="42"/>
      <c r="AJ93" s="40"/>
      <c r="AK93" s="40"/>
      <c r="AL93" s="40"/>
    </row>
    <row r="94" spans="1:38" s="32" customFormat="1">
      <c r="A94" s="43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  <c r="AA94" s="40"/>
      <c r="AB94" s="40"/>
      <c r="AC94" s="40"/>
      <c r="AD94" s="40"/>
      <c r="AE94" s="40"/>
      <c r="AF94" s="40"/>
      <c r="AG94" s="40"/>
      <c r="AH94" s="40"/>
      <c r="AI94" s="42"/>
      <c r="AJ94" s="40"/>
      <c r="AK94" s="40"/>
      <c r="AL94" s="40"/>
    </row>
    <row r="95" spans="1:38" s="32" customFormat="1">
      <c r="A95" s="43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0"/>
      <c r="AB95" s="40"/>
      <c r="AC95" s="40"/>
      <c r="AD95" s="40"/>
      <c r="AE95" s="40"/>
      <c r="AF95" s="40"/>
      <c r="AG95" s="40"/>
      <c r="AH95" s="40"/>
      <c r="AI95" s="42"/>
      <c r="AJ95" s="40"/>
      <c r="AK95" s="40"/>
      <c r="AL95" s="40"/>
    </row>
    <row r="96" spans="1:38" s="32" customFormat="1">
      <c r="A96" s="43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0"/>
      <c r="AB96" s="40"/>
      <c r="AC96" s="40"/>
      <c r="AD96" s="40"/>
      <c r="AE96" s="40"/>
      <c r="AF96" s="40"/>
      <c r="AG96" s="40"/>
      <c r="AH96" s="40"/>
      <c r="AI96" s="42"/>
      <c r="AJ96" s="40"/>
      <c r="AK96" s="40"/>
      <c r="AL96" s="40"/>
    </row>
    <row r="97" spans="1:38" s="32" customFormat="1">
      <c r="A97" s="43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  <c r="AA97" s="40"/>
      <c r="AB97" s="40"/>
      <c r="AC97" s="40"/>
      <c r="AD97" s="40"/>
      <c r="AE97" s="40"/>
      <c r="AF97" s="40"/>
      <c r="AG97" s="40"/>
      <c r="AH97" s="40"/>
      <c r="AI97" s="42"/>
      <c r="AJ97" s="40"/>
      <c r="AK97" s="40"/>
      <c r="AL97" s="40"/>
    </row>
    <row r="98" spans="1:38" s="32" customFormat="1">
      <c r="A98" s="43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  <c r="AA98" s="40"/>
      <c r="AB98" s="40"/>
      <c r="AC98" s="40"/>
      <c r="AD98" s="40"/>
      <c r="AE98" s="40"/>
      <c r="AF98" s="40"/>
      <c r="AG98" s="40"/>
      <c r="AH98" s="40"/>
      <c r="AI98" s="42"/>
      <c r="AJ98" s="40"/>
      <c r="AK98" s="40"/>
      <c r="AL98" s="40"/>
    </row>
    <row r="99" spans="1:38" s="32" customFormat="1">
      <c r="A99" s="43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  <c r="AA99" s="40"/>
      <c r="AB99" s="40"/>
      <c r="AC99" s="40"/>
      <c r="AD99" s="40"/>
      <c r="AE99" s="40"/>
      <c r="AF99" s="40"/>
      <c r="AG99" s="40"/>
      <c r="AH99" s="40"/>
      <c r="AI99" s="42"/>
      <c r="AJ99" s="40"/>
      <c r="AK99" s="40"/>
      <c r="AL99" s="40"/>
    </row>
    <row r="100" spans="1:38" s="32" customFormat="1">
      <c r="A100" s="43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  <c r="AA100" s="40"/>
      <c r="AB100" s="40"/>
      <c r="AC100" s="40"/>
      <c r="AD100" s="40"/>
      <c r="AE100" s="40"/>
      <c r="AF100" s="40"/>
      <c r="AG100" s="40"/>
      <c r="AH100" s="40"/>
      <c r="AI100" s="42"/>
      <c r="AJ100" s="40"/>
      <c r="AK100" s="40"/>
      <c r="AL100" s="40"/>
    </row>
    <row r="101" spans="1:38" s="32" customFormat="1">
      <c r="A101" s="43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  <c r="AA101" s="40"/>
      <c r="AB101" s="40"/>
      <c r="AC101" s="40"/>
      <c r="AD101" s="40"/>
      <c r="AE101" s="40"/>
      <c r="AF101" s="40"/>
      <c r="AG101" s="40"/>
      <c r="AH101" s="40"/>
      <c r="AI101" s="42"/>
      <c r="AJ101" s="40"/>
      <c r="AK101" s="40"/>
      <c r="AL101" s="40"/>
    </row>
    <row r="102" spans="1:38" s="32" customFormat="1">
      <c r="A102" s="43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  <c r="AA102" s="40"/>
      <c r="AB102" s="40"/>
      <c r="AC102" s="40"/>
      <c r="AD102" s="40"/>
      <c r="AE102" s="40"/>
      <c r="AF102" s="40"/>
      <c r="AG102" s="40"/>
      <c r="AH102" s="40"/>
      <c r="AI102" s="42"/>
      <c r="AJ102" s="40"/>
      <c r="AK102" s="40"/>
      <c r="AL102" s="40"/>
    </row>
    <row r="103" spans="1:38" s="32" customFormat="1">
      <c r="A103" s="43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  <c r="AA103" s="40"/>
      <c r="AB103" s="40"/>
      <c r="AC103" s="40"/>
      <c r="AD103" s="40"/>
      <c r="AE103" s="40"/>
      <c r="AF103" s="40"/>
      <c r="AG103" s="40"/>
      <c r="AH103" s="40"/>
      <c r="AI103" s="42"/>
      <c r="AJ103" s="40"/>
      <c r="AK103" s="40"/>
      <c r="AL103" s="40"/>
    </row>
    <row r="104" spans="1:38" s="32" customFormat="1">
      <c r="A104" s="43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  <c r="AA104" s="40"/>
      <c r="AB104" s="40"/>
      <c r="AC104" s="40"/>
      <c r="AD104" s="40"/>
      <c r="AE104" s="40"/>
      <c r="AF104" s="40"/>
      <c r="AG104" s="40"/>
      <c r="AH104" s="40"/>
      <c r="AI104" s="42"/>
      <c r="AJ104" s="40"/>
      <c r="AK104" s="40"/>
      <c r="AL104" s="40"/>
    </row>
    <row r="105" spans="1:38" s="32" customFormat="1">
      <c r="A105" s="43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  <c r="AA105" s="40"/>
      <c r="AB105" s="40"/>
      <c r="AC105" s="40"/>
      <c r="AD105" s="40"/>
      <c r="AE105" s="40"/>
      <c r="AF105" s="40"/>
      <c r="AG105" s="40"/>
      <c r="AH105" s="40"/>
      <c r="AI105" s="42"/>
      <c r="AJ105" s="40"/>
      <c r="AK105" s="40"/>
      <c r="AL105" s="40"/>
    </row>
    <row r="106" spans="1:38" s="32" customFormat="1">
      <c r="A106" s="43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  <c r="AA106" s="40"/>
      <c r="AB106" s="40"/>
      <c r="AC106" s="40"/>
      <c r="AD106" s="40"/>
      <c r="AE106" s="40"/>
      <c r="AF106" s="40"/>
      <c r="AG106" s="40"/>
      <c r="AH106" s="40"/>
      <c r="AI106" s="42"/>
      <c r="AJ106" s="40"/>
      <c r="AK106" s="40"/>
      <c r="AL106" s="40"/>
    </row>
    <row r="107" spans="1:38" s="32" customFormat="1">
      <c r="A107" s="43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  <c r="AA107" s="40"/>
      <c r="AB107" s="40"/>
      <c r="AC107" s="40"/>
      <c r="AD107" s="40"/>
      <c r="AE107" s="40"/>
      <c r="AF107" s="40"/>
      <c r="AG107" s="40"/>
      <c r="AH107" s="40"/>
      <c r="AI107" s="42"/>
      <c r="AJ107" s="40"/>
      <c r="AK107" s="40"/>
      <c r="AL107" s="40"/>
    </row>
    <row r="108" spans="1:38" s="32" customFormat="1">
      <c r="A108" s="43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  <c r="AA108" s="40"/>
      <c r="AB108" s="40"/>
      <c r="AC108" s="40"/>
      <c r="AD108" s="40"/>
      <c r="AE108" s="40"/>
      <c r="AF108" s="40"/>
      <c r="AG108" s="40"/>
      <c r="AH108" s="40"/>
      <c r="AI108" s="42"/>
      <c r="AJ108" s="40"/>
      <c r="AK108" s="40"/>
      <c r="AL108" s="40"/>
    </row>
    <row r="109" spans="1:38" s="32" customFormat="1">
      <c r="A109" s="43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  <c r="AA109" s="40"/>
      <c r="AB109" s="40"/>
      <c r="AC109" s="40"/>
      <c r="AD109" s="40"/>
      <c r="AE109" s="40"/>
      <c r="AF109" s="40"/>
      <c r="AG109" s="40"/>
      <c r="AH109" s="40"/>
      <c r="AI109" s="42"/>
      <c r="AJ109" s="40"/>
      <c r="AK109" s="40"/>
      <c r="AL109" s="40"/>
    </row>
    <row r="110" spans="1:38" s="32" customFormat="1">
      <c r="A110" s="43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  <c r="AA110" s="40"/>
      <c r="AB110" s="40"/>
      <c r="AC110" s="40"/>
      <c r="AD110" s="40"/>
      <c r="AE110" s="40"/>
      <c r="AF110" s="40"/>
      <c r="AG110" s="40"/>
      <c r="AH110" s="40"/>
      <c r="AI110" s="42"/>
      <c r="AJ110" s="40"/>
      <c r="AK110" s="40"/>
      <c r="AL110" s="40"/>
    </row>
    <row r="111" spans="1:38" s="32" customFormat="1">
      <c r="A111" s="43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  <c r="AA111" s="40"/>
      <c r="AB111" s="40"/>
      <c r="AC111" s="40"/>
      <c r="AD111" s="40"/>
      <c r="AE111" s="40"/>
      <c r="AF111" s="40"/>
      <c r="AG111" s="40"/>
      <c r="AH111" s="40"/>
      <c r="AI111" s="42"/>
      <c r="AJ111" s="40"/>
      <c r="AK111" s="40"/>
      <c r="AL111" s="40"/>
    </row>
    <row r="112" spans="1:38" s="32" customFormat="1">
      <c r="A112" s="43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  <c r="AA112" s="40"/>
      <c r="AB112" s="40"/>
      <c r="AC112" s="40"/>
      <c r="AD112" s="40"/>
      <c r="AE112" s="40"/>
      <c r="AF112" s="40"/>
      <c r="AG112" s="40"/>
      <c r="AH112" s="40"/>
      <c r="AI112" s="42"/>
      <c r="AJ112" s="40"/>
      <c r="AK112" s="40"/>
      <c r="AL112" s="40"/>
    </row>
    <row r="113" spans="1:38" s="32" customFormat="1">
      <c r="A113" s="43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  <c r="AA113" s="40"/>
      <c r="AB113" s="40"/>
      <c r="AC113" s="40"/>
      <c r="AD113" s="40"/>
      <c r="AE113" s="40"/>
      <c r="AF113" s="40"/>
      <c r="AG113" s="40"/>
      <c r="AH113" s="40"/>
      <c r="AI113" s="42"/>
      <c r="AJ113" s="40"/>
      <c r="AK113" s="40"/>
      <c r="AL113" s="40"/>
    </row>
    <row r="114" spans="1:38" s="32" customFormat="1">
      <c r="A114" s="43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  <c r="AA114" s="40"/>
      <c r="AB114" s="40"/>
      <c r="AC114" s="40"/>
      <c r="AD114" s="40"/>
      <c r="AE114" s="40"/>
      <c r="AF114" s="40"/>
      <c r="AG114" s="40"/>
      <c r="AH114" s="40"/>
      <c r="AI114" s="42"/>
      <c r="AJ114" s="40"/>
      <c r="AK114" s="40"/>
      <c r="AL114" s="40"/>
    </row>
    <row r="115" spans="1:38" s="32" customFormat="1">
      <c r="A115" s="43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  <c r="AA115" s="40"/>
      <c r="AB115" s="40"/>
      <c r="AC115" s="40"/>
      <c r="AD115" s="40"/>
      <c r="AE115" s="40"/>
      <c r="AF115" s="40"/>
      <c r="AG115" s="40"/>
      <c r="AH115" s="40"/>
      <c r="AI115" s="42"/>
      <c r="AJ115" s="40"/>
      <c r="AK115" s="40"/>
      <c r="AL115" s="40"/>
    </row>
    <row r="116" spans="1:38" s="32" customFormat="1">
      <c r="A116" s="43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  <c r="AA116" s="40"/>
      <c r="AB116" s="40"/>
      <c r="AC116" s="40"/>
      <c r="AD116" s="40"/>
      <c r="AE116" s="40"/>
      <c r="AF116" s="40"/>
      <c r="AG116" s="40"/>
      <c r="AH116" s="40"/>
      <c r="AI116" s="42"/>
      <c r="AJ116" s="40"/>
      <c r="AK116" s="40"/>
      <c r="AL116" s="40"/>
    </row>
    <row r="117" spans="1:38" s="32" customFormat="1">
      <c r="A117" s="43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  <c r="AA117" s="40"/>
      <c r="AB117" s="40"/>
      <c r="AC117" s="40"/>
      <c r="AD117" s="40"/>
      <c r="AE117" s="40"/>
      <c r="AF117" s="40"/>
      <c r="AG117" s="40"/>
      <c r="AH117" s="40"/>
      <c r="AI117" s="42"/>
      <c r="AJ117" s="40"/>
      <c r="AK117" s="40"/>
      <c r="AL117" s="40"/>
    </row>
    <row r="118" spans="1:38" s="32" customFormat="1">
      <c r="A118" s="43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  <c r="AA118" s="40"/>
      <c r="AB118" s="40"/>
      <c r="AC118" s="40"/>
      <c r="AD118" s="40"/>
      <c r="AE118" s="40"/>
      <c r="AF118" s="40"/>
      <c r="AG118" s="40"/>
      <c r="AH118" s="40"/>
      <c r="AI118" s="42"/>
      <c r="AJ118" s="40"/>
      <c r="AK118" s="40"/>
      <c r="AL118" s="40"/>
    </row>
    <row r="119" spans="1:38" s="32" customFormat="1">
      <c r="A119" s="43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  <c r="AA119" s="40"/>
      <c r="AB119" s="40"/>
      <c r="AC119" s="40"/>
      <c r="AD119" s="40"/>
      <c r="AE119" s="40"/>
      <c r="AF119" s="40"/>
      <c r="AG119" s="40"/>
      <c r="AH119" s="40"/>
      <c r="AI119" s="42"/>
      <c r="AJ119" s="40"/>
      <c r="AK119" s="40"/>
      <c r="AL119" s="40"/>
    </row>
    <row r="120" spans="1:38" s="32" customFormat="1">
      <c r="A120" s="43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  <c r="AA120" s="40"/>
      <c r="AB120" s="40"/>
      <c r="AC120" s="40"/>
      <c r="AD120" s="40"/>
      <c r="AE120" s="40"/>
      <c r="AF120" s="40"/>
      <c r="AG120" s="40"/>
      <c r="AH120" s="40"/>
      <c r="AI120" s="42"/>
      <c r="AJ120" s="40"/>
      <c r="AK120" s="40"/>
      <c r="AL120" s="40"/>
    </row>
    <row r="121" spans="1:38" s="32" customFormat="1">
      <c r="A121" s="43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0"/>
      <c r="AB121" s="40"/>
      <c r="AC121" s="40"/>
      <c r="AD121" s="40"/>
      <c r="AE121" s="40"/>
      <c r="AF121" s="40"/>
      <c r="AG121" s="40"/>
      <c r="AH121" s="40"/>
      <c r="AI121" s="42"/>
      <c r="AJ121" s="40"/>
      <c r="AK121" s="40"/>
      <c r="AL121" s="40"/>
    </row>
    <row r="122" spans="1:38" s="32" customFormat="1">
      <c r="A122" s="43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  <c r="AA122" s="40"/>
      <c r="AB122" s="40"/>
      <c r="AC122" s="40"/>
      <c r="AD122" s="40"/>
      <c r="AE122" s="40"/>
      <c r="AF122" s="40"/>
      <c r="AG122" s="40"/>
      <c r="AH122" s="40"/>
      <c r="AI122" s="42"/>
      <c r="AJ122" s="40"/>
      <c r="AK122" s="40"/>
      <c r="AL122" s="40"/>
    </row>
    <row r="123" spans="1:38" s="32" customFormat="1">
      <c r="A123" s="43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F123" s="40"/>
      <c r="AG123" s="40"/>
      <c r="AH123" s="40"/>
      <c r="AI123" s="42"/>
      <c r="AJ123" s="40"/>
      <c r="AK123" s="40"/>
      <c r="AL123" s="40"/>
    </row>
    <row r="124" spans="1:38" s="32" customFormat="1">
      <c r="A124" s="43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F124" s="40"/>
      <c r="AG124" s="40"/>
      <c r="AH124" s="40"/>
      <c r="AI124" s="42"/>
      <c r="AJ124" s="40"/>
      <c r="AK124" s="40"/>
      <c r="AL124" s="40"/>
    </row>
    <row r="125" spans="1:38" s="32" customFormat="1">
      <c r="A125" s="43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F125" s="40"/>
      <c r="AG125" s="40"/>
      <c r="AH125" s="40"/>
      <c r="AI125" s="42"/>
      <c r="AJ125" s="40"/>
      <c r="AK125" s="40"/>
      <c r="AL125" s="40"/>
    </row>
    <row r="126" spans="1:38" s="32" customFormat="1">
      <c r="A126" s="43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F126" s="40"/>
      <c r="AG126" s="40"/>
      <c r="AH126" s="40"/>
      <c r="AI126" s="42"/>
      <c r="AJ126" s="40"/>
      <c r="AK126" s="40"/>
      <c r="AL126" s="40"/>
    </row>
    <row r="127" spans="1:38" s="32" customFormat="1">
      <c r="A127" s="43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  <c r="AA127" s="40"/>
      <c r="AB127" s="40"/>
      <c r="AC127" s="40"/>
      <c r="AD127" s="40"/>
      <c r="AE127" s="40"/>
      <c r="AF127" s="40"/>
      <c r="AG127" s="40"/>
      <c r="AH127" s="40"/>
      <c r="AI127" s="42"/>
      <c r="AJ127" s="40"/>
      <c r="AK127" s="40"/>
      <c r="AL127" s="40"/>
    </row>
    <row r="128" spans="1:38" s="32" customFormat="1">
      <c r="A128" s="43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  <c r="AA128" s="40"/>
      <c r="AB128" s="40"/>
      <c r="AC128" s="40"/>
      <c r="AD128" s="40"/>
      <c r="AE128" s="40"/>
      <c r="AF128" s="40"/>
      <c r="AG128" s="40"/>
      <c r="AH128" s="40"/>
      <c r="AI128" s="42"/>
      <c r="AJ128" s="40"/>
      <c r="AK128" s="40"/>
      <c r="AL128" s="40"/>
    </row>
    <row r="129" spans="1:38" s="32" customFormat="1">
      <c r="A129" s="43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  <c r="AA129" s="40"/>
      <c r="AB129" s="40"/>
      <c r="AC129" s="40"/>
      <c r="AD129" s="40"/>
      <c r="AE129" s="40"/>
      <c r="AF129" s="40"/>
      <c r="AG129" s="40"/>
      <c r="AH129" s="40"/>
      <c r="AI129" s="42"/>
      <c r="AJ129" s="40"/>
      <c r="AK129" s="40"/>
      <c r="AL129" s="40"/>
    </row>
    <row r="130" spans="1:38" s="32" customFormat="1">
      <c r="A130" s="43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  <c r="AA130" s="40"/>
      <c r="AB130" s="40"/>
      <c r="AC130" s="40"/>
      <c r="AD130" s="40"/>
      <c r="AE130" s="40"/>
      <c r="AF130" s="40"/>
      <c r="AG130" s="40"/>
      <c r="AH130" s="40"/>
      <c r="AI130" s="42"/>
      <c r="AJ130" s="40"/>
      <c r="AK130" s="40"/>
      <c r="AL130" s="40"/>
    </row>
    <row r="131" spans="1:38" s="32" customFormat="1">
      <c r="A131" s="43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  <c r="AA131" s="40"/>
      <c r="AB131" s="40"/>
      <c r="AC131" s="40"/>
      <c r="AD131" s="40"/>
      <c r="AE131" s="40"/>
      <c r="AF131" s="40"/>
      <c r="AG131" s="40"/>
      <c r="AH131" s="40"/>
      <c r="AI131" s="42"/>
      <c r="AJ131" s="40"/>
      <c r="AK131" s="40"/>
      <c r="AL131" s="40"/>
    </row>
    <row r="132" spans="1:38" s="32" customFormat="1">
      <c r="A132" s="43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  <c r="AA132" s="40"/>
      <c r="AB132" s="40"/>
      <c r="AC132" s="40"/>
      <c r="AD132" s="40"/>
      <c r="AE132" s="40"/>
      <c r="AF132" s="40"/>
      <c r="AG132" s="40"/>
      <c r="AH132" s="40"/>
      <c r="AI132" s="42"/>
      <c r="AJ132" s="40"/>
      <c r="AK132" s="40"/>
      <c r="AL132" s="40"/>
    </row>
    <row r="133" spans="1:38" s="32" customFormat="1">
      <c r="A133" s="43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  <c r="AA133" s="40"/>
      <c r="AB133" s="40"/>
      <c r="AC133" s="40"/>
      <c r="AD133" s="40"/>
      <c r="AE133" s="40"/>
      <c r="AF133" s="40"/>
      <c r="AG133" s="40"/>
      <c r="AH133" s="40"/>
      <c r="AI133" s="42"/>
      <c r="AJ133" s="40"/>
      <c r="AK133" s="40"/>
      <c r="AL133" s="40"/>
    </row>
    <row r="134" spans="1:38" s="32" customFormat="1">
      <c r="A134" s="43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  <c r="AA134" s="40"/>
      <c r="AB134" s="40"/>
      <c r="AC134" s="40"/>
      <c r="AD134" s="40"/>
      <c r="AE134" s="40"/>
      <c r="AF134" s="40"/>
      <c r="AG134" s="40"/>
      <c r="AH134" s="40"/>
      <c r="AI134" s="42"/>
      <c r="AJ134" s="40"/>
      <c r="AK134" s="40"/>
      <c r="AL134" s="40"/>
    </row>
    <row r="135" spans="1:38" s="32" customFormat="1">
      <c r="A135" s="43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  <c r="AA135" s="40"/>
      <c r="AB135" s="40"/>
      <c r="AC135" s="40"/>
      <c r="AD135" s="40"/>
      <c r="AE135" s="40"/>
      <c r="AF135" s="40"/>
      <c r="AG135" s="40"/>
      <c r="AH135" s="40"/>
      <c r="AI135" s="42"/>
      <c r="AJ135" s="40"/>
      <c r="AK135" s="40"/>
      <c r="AL135" s="40"/>
    </row>
    <row r="136" spans="1:38" s="32" customFormat="1">
      <c r="A136" s="43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  <c r="AA136" s="40"/>
      <c r="AB136" s="40"/>
      <c r="AC136" s="40"/>
      <c r="AD136" s="40"/>
      <c r="AE136" s="40"/>
      <c r="AF136" s="40"/>
      <c r="AG136" s="40"/>
      <c r="AH136" s="40"/>
      <c r="AI136" s="42"/>
      <c r="AJ136" s="40"/>
      <c r="AK136" s="40"/>
      <c r="AL136" s="40"/>
    </row>
    <row r="137" spans="1:38" s="32" customFormat="1">
      <c r="A137" s="43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  <c r="AA137" s="40"/>
      <c r="AB137" s="40"/>
      <c r="AC137" s="40"/>
      <c r="AD137" s="40"/>
      <c r="AE137" s="40"/>
      <c r="AF137" s="40"/>
      <c r="AG137" s="40"/>
      <c r="AH137" s="40"/>
      <c r="AI137" s="42"/>
      <c r="AJ137" s="40"/>
      <c r="AK137" s="40"/>
      <c r="AL137" s="40"/>
    </row>
    <row r="138" spans="1:38" s="32" customFormat="1">
      <c r="A138" s="43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  <c r="AA138" s="40"/>
      <c r="AB138" s="40"/>
      <c r="AC138" s="40"/>
      <c r="AD138" s="40"/>
      <c r="AE138" s="40"/>
      <c r="AF138" s="40"/>
      <c r="AG138" s="40"/>
      <c r="AH138" s="40"/>
      <c r="AI138" s="42"/>
      <c r="AJ138" s="40"/>
      <c r="AK138" s="40"/>
      <c r="AL138" s="40"/>
    </row>
    <row r="139" spans="1:38" s="32" customFormat="1">
      <c r="A139" s="43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  <c r="AA139" s="40"/>
      <c r="AB139" s="40"/>
      <c r="AC139" s="40"/>
      <c r="AD139" s="40"/>
      <c r="AE139" s="40"/>
      <c r="AF139" s="40"/>
      <c r="AG139" s="40"/>
      <c r="AH139" s="40"/>
      <c r="AI139" s="42"/>
      <c r="AJ139" s="40"/>
      <c r="AK139" s="40"/>
      <c r="AL139" s="40"/>
    </row>
    <row r="140" spans="1:38" s="32" customFormat="1">
      <c r="A140" s="43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  <c r="AA140" s="40"/>
      <c r="AB140" s="40"/>
      <c r="AC140" s="40"/>
      <c r="AD140" s="40"/>
      <c r="AE140" s="40"/>
      <c r="AF140" s="40"/>
      <c r="AG140" s="40"/>
      <c r="AH140" s="40"/>
      <c r="AI140" s="42"/>
      <c r="AJ140" s="40"/>
      <c r="AK140" s="40"/>
      <c r="AL140" s="40"/>
    </row>
    <row r="141" spans="1:38" s="32" customFormat="1">
      <c r="A141" s="43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  <c r="AA141" s="40"/>
      <c r="AB141" s="40"/>
      <c r="AC141" s="40"/>
      <c r="AD141" s="40"/>
      <c r="AE141" s="40"/>
      <c r="AF141" s="40"/>
      <c r="AG141" s="40"/>
      <c r="AH141" s="40"/>
      <c r="AI141" s="42"/>
      <c r="AJ141" s="40"/>
      <c r="AK141" s="40"/>
      <c r="AL141" s="40"/>
    </row>
    <row r="142" spans="1:38" s="32" customFormat="1">
      <c r="A142" s="43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  <c r="AA142" s="40"/>
      <c r="AB142" s="40"/>
      <c r="AC142" s="40"/>
      <c r="AD142" s="40"/>
      <c r="AE142" s="40"/>
      <c r="AF142" s="40"/>
      <c r="AG142" s="40"/>
      <c r="AH142" s="40"/>
      <c r="AI142" s="42"/>
      <c r="AJ142" s="40"/>
      <c r="AK142" s="40"/>
      <c r="AL142" s="40"/>
    </row>
    <row r="143" spans="1:38" s="32" customFormat="1">
      <c r="A143" s="43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  <c r="AA143" s="40"/>
      <c r="AB143" s="40"/>
      <c r="AC143" s="40"/>
      <c r="AD143" s="40"/>
      <c r="AE143" s="40"/>
      <c r="AF143" s="40"/>
      <c r="AG143" s="40"/>
      <c r="AH143" s="40"/>
      <c r="AI143" s="42"/>
      <c r="AJ143" s="40"/>
      <c r="AK143" s="40"/>
      <c r="AL143" s="40"/>
    </row>
    <row r="144" spans="1:38" s="32" customFormat="1">
      <c r="A144" s="43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  <c r="AA144" s="40"/>
      <c r="AB144" s="40"/>
      <c r="AC144" s="40"/>
      <c r="AD144" s="40"/>
      <c r="AE144" s="40"/>
      <c r="AF144" s="40"/>
      <c r="AG144" s="40"/>
      <c r="AH144" s="40"/>
      <c r="AI144" s="42"/>
      <c r="AJ144" s="40"/>
      <c r="AK144" s="40"/>
      <c r="AL144" s="40"/>
    </row>
    <row r="145" spans="1:38" s="32" customFormat="1">
      <c r="A145" s="43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  <c r="AA145" s="40"/>
      <c r="AB145" s="40"/>
      <c r="AC145" s="40"/>
      <c r="AD145" s="40"/>
      <c r="AE145" s="40"/>
      <c r="AF145" s="40"/>
      <c r="AG145" s="40"/>
      <c r="AH145" s="40"/>
      <c r="AI145" s="42"/>
      <c r="AJ145" s="40"/>
      <c r="AK145" s="40"/>
      <c r="AL145" s="40"/>
    </row>
    <row r="146" spans="1:38" s="32" customFormat="1">
      <c r="A146" s="43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  <c r="AA146" s="40"/>
      <c r="AB146" s="40"/>
      <c r="AC146" s="40"/>
      <c r="AD146" s="40"/>
      <c r="AE146" s="40"/>
      <c r="AF146" s="40"/>
      <c r="AG146" s="40"/>
      <c r="AH146" s="40"/>
      <c r="AI146" s="42"/>
      <c r="AJ146" s="40"/>
      <c r="AK146" s="40"/>
      <c r="AL146" s="40"/>
    </row>
    <row r="147" spans="1:38" s="32" customFormat="1">
      <c r="A147" s="43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  <c r="AA147" s="40"/>
      <c r="AB147" s="40"/>
      <c r="AC147" s="40"/>
      <c r="AD147" s="40"/>
      <c r="AE147" s="40"/>
      <c r="AF147" s="40"/>
      <c r="AG147" s="40"/>
      <c r="AH147" s="40"/>
      <c r="AI147" s="42"/>
      <c r="AJ147" s="40"/>
      <c r="AK147" s="40"/>
      <c r="AL147" s="40"/>
    </row>
    <row r="148" spans="1:38" s="32" customFormat="1">
      <c r="A148" s="43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  <c r="AA148" s="40"/>
      <c r="AB148" s="40"/>
      <c r="AC148" s="40"/>
      <c r="AD148" s="40"/>
      <c r="AE148" s="40"/>
      <c r="AF148" s="40"/>
      <c r="AG148" s="40"/>
      <c r="AH148" s="40"/>
      <c r="AI148" s="42"/>
      <c r="AJ148" s="40"/>
      <c r="AK148" s="40"/>
      <c r="AL148" s="40"/>
    </row>
    <row r="149" spans="1:38" s="32" customFormat="1">
      <c r="A149" s="43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  <c r="AA149" s="40"/>
      <c r="AB149" s="40"/>
      <c r="AC149" s="40"/>
      <c r="AD149" s="40"/>
      <c r="AE149" s="40"/>
      <c r="AF149" s="40"/>
      <c r="AG149" s="40"/>
      <c r="AH149" s="40"/>
      <c r="AI149" s="42"/>
      <c r="AJ149" s="40"/>
      <c r="AK149" s="40"/>
      <c r="AL149" s="40"/>
    </row>
    <row r="150" spans="1:38" s="32" customFormat="1">
      <c r="A150" s="43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  <c r="AA150" s="40"/>
      <c r="AB150" s="40"/>
      <c r="AC150" s="40"/>
      <c r="AD150" s="40"/>
      <c r="AE150" s="40"/>
      <c r="AF150" s="40"/>
      <c r="AG150" s="40"/>
      <c r="AH150" s="40"/>
      <c r="AI150" s="42"/>
      <c r="AJ150" s="40"/>
      <c r="AK150" s="40"/>
      <c r="AL150" s="40"/>
    </row>
    <row r="151" spans="1:38" s="32" customFormat="1">
      <c r="A151" s="43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  <c r="AA151" s="40"/>
      <c r="AB151" s="40"/>
      <c r="AC151" s="40"/>
      <c r="AD151" s="40"/>
      <c r="AE151" s="40"/>
      <c r="AF151" s="40"/>
      <c r="AG151" s="40"/>
      <c r="AH151" s="40"/>
      <c r="AI151" s="42"/>
      <c r="AJ151" s="40"/>
      <c r="AK151" s="40"/>
      <c r="AL151" s="40"/>
    </row>
    <row r="152" spans="1:38" s="32" customFormat="1">
      <c r="A152" s="43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  <c r="AA152" s="40"/>
      <c r="AB152" s="40"/>
      <c r="AC152" s="40"/>
      <c r="AD152" s="40"/>
      <c r="AE152" s="40"/>
      <c r="AF152" s="40"/>
      <c r="AG152" s="40"/>
      <c r="AH152" s="40"/>
      <c r="AI152" s="42"/>
      <c r="AJ152" s="40"/>
      <c r="AK152" s="40"/>
      <c r="AL152" s="40"/>
    </row>
    <row r="153" spans="1:38" s="32" customFormat="1">
      <c r="A153" s="43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  <c r="AA153" s="40"/>
      <c r="AB153" s="40"/>
      <c r="AC153" s="40"/>
      <c r="AD153" s="40"/>
      <c r="AE153" s="40"/>
      <c r="AF153" s="40"/>
      <c r="AG153" s="40"/>
      <c r="AH153" s="40"/>
      <c r="AI153" s="42"/>
      <c r="AJ153" s="40"/>
      <c r="AK153" s="40"/>
      <c r="AL153" s="40"/>
    </row>
    <row r="154" spans="1:38" s="32" customFormat="1">
      <c r="A154" s="43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  <c r="AA154" s="40"/>
      <c r="AB154" s="40"/>
      <c r="AC154" s="40"/>
      <c r="AD154" s="40"/>
      <c r="AE154" s="40"/>
      <c r="AF154" s="40"/>
      <c r="AG154" s="40"/>
      <c r="AH154" s="40"/>
      <c r="AI154" s="42"/>
      <c r="AJ154" s="40"/>
      <c r="AK154" s="40"/>
      <c r="AL154" s="40"/>
    </row>
    <row r="155" spans="1:38" s="32" customFormat="1">
      <c r="A155" s="43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  <c r="AA155" s="40"/>
      <c r="AB155" s="40"/>
      <c r="AC155" s="40"/>
      <c r="AD155" s="40"/>
      <c r="AE155" s="40"/>
      <c r="AF155" s="40"/>
      <c r="AG155" s="40"/>
      <c r="AH155" s="40"/>
      <c r="AI155" s="42"/>
      <c r="AJ155" s="40"/>
      <c r="AK155" s="40"/>
      <c r="AL155" s="40"/>
    </row>
    <row r="156" spans="1:38" s="32" customFormat="1">
      <c r="A156" s="43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  <c r="AA156" s="40"/>
      <c r="AB156" s="40"/>
      <c r="AC156" s="40"/>
      <c r="AD156" s="40"/>
      <c r="AE156" s="40"/>
      <c r="AF156" s="40"/>
      <c r="AG156" s="40"/>
      <c r="AH156" s="40"/>
      <c r="AI156" s="42"/>
      <c r="AJ156" s="40"/>
      <c r="AK156" s="40"/>
      <c r="AL156" s="40"/>
    </row>
    <row r="157" spans="1:38" s="32" customFormat="1">
      <c r="A157" s="43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  <c r="AA157" s="40"/>
      <c r="AB157" s="40"/>
      <c r="AC157" s="40"/>
      <c r="AD157" s="40"/>
      <c r="AE157" s="40"/>
      <c r="AF157" s="40"/>
      <c r="AG157" s="40"/>
      <c r="AH157" s="40"/>
      <c r="AI157" s="42"/>
      <c r="AJ157" s="40"/>
      <c r="AK157" s="40"/>
      <c r="AL157" s="40"/>
    </row>
    <row r="158" spans="1:38" s="32" customFormat="1">
      <c r="A158" s="43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  <c r="AA158" s="40"/>
      <c r="AB158" s="40"/>
      <c r="AC158" s="40"/>
      <c r="AD158" s="40"/>
      <c r="AE158" s="40"/>
      <c r="AF158" s="40"/>
      <c r="AG158" s="40"/>
      <c r="AH158" s="40"/>
      <c r="AI158" s="42"/>
      <c r="AJ158" s="40"/>
      <c r="AK158" s="40"/>
      <c r="AL158" s="40"/>
    </row>
    <row r="159" spans="1:38" s="32" customFormat="1">
      <c r="A159" s="43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  <c r="AA159" s="40"/>
      <c r="AB159" s="40"/>
      <c r="AC159" s="40"/>
      <c r="AD159" s="40"/>
      <c r="AE159" s="40"/>
      <c r="AF159" s="40"/>
      <c r="AG159" s="40"/>
      <c r="AH159" s="40"/>
      <c r="AI159" s="42"/>
      <c r="AJ159" s="40"/>
      <c r="AK159" s="40"/>
      <c r="AL159" s="40"/>
    </row>
    <row r="160" spans="1:38" s="32" customFormat="1">
      <c r="A160" s="43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  <c r="AA160" s="40"/>
      <c r="AB160" s="40"/>
      <c r="AC160" s="40"/>
      <c r="AD160" s="40"/>
      <c r="AE160" s="40"/>
      <c r="AF160" s="40"/>
      <c r="AG160" s="40"/>
      <c r="AH160" s="40"/>
      <c r="AI160" s="42"/>
      <c r="AJ160" s="40"/>
      <c r="AK160" s="40"/>
      <c r="AL160" s="40"/>
    </row>
    <row r="161" spans="1:38" s="32" customFormat="1">
      <c r="A161" s="43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  <c r="AA161" s="40"/>
      <c r="AB161" s="40"/>
      <c r="AC161" s="40"/>
      <c r="AD161" s="40"/>
      <c r="AE161" s="40"/>
      <c r="AF161" s="40"/>
      <c r="AG161" s="40"/>
      <c r="AH161" s="40"/>
      <c r="AI161" s="42"/>
      <c r="AJ161" s="40"/>
      <c r="AK161" s="40"/>
      <c r="AL161" s="40"/>
    </row>
    <row r="162" spans="1:38" s="32" customFormat="1">
      <c r="A162" s="43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  <c r="AA162" s="40"/>
      <c r="AB162" s="40"/>
      <c r="AC162" s="40"/>
      <c r="AD162" s="40"/>
      <c r="AE162" s="40"/>
      <c r="AF162" s="40"/>
      <c r="AG162" s="40"/>
      <c r="AH162" s="40"/>
      <c r="AI162" s="42"/>
      <c r="AJ162" s="40"/>
      <c r="AK162" s="40"/>
      <c r="AL162" s="40"/>
    </row>
    <row r="163" spans="1:38" s="32" customFormat="1">
      <c r="A163" s="43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  <c r="AA163" s="40"/>
      <c r="AB163" s="40"/>
      <c r="AC163" s="40"/>
      <c r="AD163" s="40"/>
      <c r="AE163" s="40"/>
      <c r="AF163" s="40"/>
      <c r="AG163" s="40"/>
      <c r="AH163" s="40"/>
      <c r="AI163" s="42"/>
      <c r="AJ163" s="40"/>
      <c r="AK163" s="40"/>
      <c r="AL163" s="40"/>
    </row>
    <row r="164" spans="1:38" s="32" customFormat="1">
      <c r="A164" s="43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  <c r="AA164" s="40"/>
      <c r="AB164" s="40"/>
      <c r="AC164" s="40"/>
      <c r="AD164" s="40"/>
      <c r="AE164" s="40"/>
      <c r="AF164" s="40"/>
      <c r="AG164" s="40"/>
      <c r="AH164" s="40"/>
      <c r="AI164" s="42"/>
      <c r="AJ164" s="40"/>
      <c r="AK164" s="40"/>
      <c r="AL164" s="40"/>
    </row>
    <row r="165" spans="1:38" s="32" customFormat="1">
      <c r="A165" s="43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  <c r="AA165" s="40"/>
      <c r="AB165" s="40"/>
      <c r="AC165" s="40"/>
      <c r="AD165" s="40"/>
      <c r="AE165" s="40"/>
      <c r="AF165" s="40"/>
      <c r="AG165" s="40"/>
      <c r="AH165" s="40"/>
      <c r="AI165" s="42"/>
      <c r="AJ165" s="40"/>
      <c r="AK165" s="40"/>
      <c r="AL165" s="40"/>
    </row>
    <row r="166" spans="1:38" s="32" customFormat="1">
      <c r="A166" s="43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  <c r="AA166" s="40"/>
      <c r="AB166" s="40"/>
      <c r="AC166" s="40"/>
      <c r="AD166" s="40"/>
      <c r="AE166" s="40"/>
      <c r="AF166" s="40"/>
      <c r="AG166" s="40"/>
      <c r="AH166" s="40"/>
      <c r="AI166" s="42"/>
      <c r="AJ166" s="40"/>
      <c r="AK166" s="40"/>
      <c r="AL166" s="40"/>
    </row>
    <row r="167" spans="1:38" s="32" customFormat="1">
      <c r="A167" s="43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  <c r="AA167" s="40"/>
      <c r="AB167" s="40"/>
      <c r="AC167" s="40"/>
      <c r="AD167" s="40"/>
      <c r="AE167" s="40"/>
      <c r="AF167" s="40"/>
      <c r="AG167" s="40"/>
      <c r="AH167" s="40"/>
      <c r="AI167" s="42"/>
      <c r="AJ167" s="40"/>
      <c r="AK167" s="40"/>
      <c r="AL167" s="40"/>
    </row>
    <row r="168" spans="1:38" s="32" customFormat="1">
      <c r="A168" s="43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  <c r="AA168" s="40"/>
      <c r="AB168" s="40"/>
      <c r="AC168" s="40"/>
      <c r="AD168" s="40"/>
      <c r="AE168" s="40"/>
      <c r="AF168" s="40"/>
      <c r="AG168" s="40"/>
      <c r="AH168" s="40"/>
      <c r="AI168" s="42"/>
      <c r="AJ168" s="40"/>
      <c r="AK168" s="40"/>
      <c r="AL168" s="40"/>
    </row>
    <row r="169" spans="1:38" s="32" customFormat="1">
      <c r="A169" s="43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  <c r="AA169" s="40"/>
      <c r="AB169" s="40"/>
      <c r="AC169" s="40"/>
      <c r="AD169" s="40"/>
      <c r="AE169" s="40"/>
      <c r="AF169" s="40"/>
      <c r="AG169" s="40"/>
      <c r="AH169" s="40"/>
      <c r="AI169" s="42"/>
      <c r="AJ169" s="40"/>
      <c r="AK169" s="40"/>
      <c r="AL169" s="40"/>
    </row>
    <row r="170" spans="1:38" s="32" customFormat="1">
      <c r="A170" s="43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  <c r="AA170" s="40"/>
      <c r="AB170" s="40"/>
      <c r="AC170" s="40"/>
      <c r="AD170" s="40"/>
      <c r="AE170" s="40"/>
      <c r="AF170" s="40"/>
      <c r="AG170" s="40"/>
      <c r="AH170" s="40"/>
      <c r="AI170" s="42"/>
      <c r="AJ170" s="40"/>
      <c r="AK170" s="40"/>
      <c r="AL170" s="40"/>
    </row>
    <row r="171" spans="1:38" s="32" customFormat="1">
      <c r="A171" s="43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  <c r="AA171" s="40"/>
      <c r="AB171" s="40"/>
      <c r="AC171" s="40"/>
      <c r="AD171" s="40"/>
      <c r="AE171" s="40"/>
      <c r="AF171" s="40"/>
      <c r="AG171" s="40"/>
      <c r="AH171" s="40"/>
      <c r="AI171" s="42"/>
      <c r="AJ171" s="40"/>
      <c r="AK171" s="40"/>
      <c r="AL171" s="40"/>
    </row>
    <row r="172" spans="1:38" s="32" customFormat="1">
      <c r="A172" s="43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  <c r="AA172" s="40"/>
      <c r="AB172" s="40"/>
      <c r="AC172" s="40"/>
      <c r="AD172" s="40"/>
      <c r="AE172" s="40"/>
      <c r="AF172" s="40"/>
      <c r="AG172" s="40"/>
      <c r="AH172" s="40"/>
      <c r="AI172" s="42"/>
      <c r="AJ172" s="40"/>
      <c r="AK172" s="40"/>
      <c r="AL172" s="40"/>
    </row>
    <row r="173" spans="1:38" s="32" customFormat="1">
      <c r="A173" s="43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  <c r="AA173" s="40"/>
      <c r="AB173" s="40"/>
      <c r="AC173" s="40"/>
      <c r="AD173" s="40"/>
      <c r="AE173" s="40"/>
      <c r="AF173" s="40"/>
      <c r="AG173" s="40"/>
      <c r="AH173" s="40"/>
      <c r="AI173" s="42"/>
      <c r="AJ173" s="40"/>
      <c r="AK173" s="40"/>
      <c r="AL173" s="40"/>
    </row>
    <row r="174" spans="1:38" s="32" customFormat="1">
      <c r="A174" s="43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  <c r="AA174" s="40"/>
      <c r="AB174" s="40"/>
      <c r="AC174" s="40"/>
      <c r="AD174" s="40"/>
      <c r="AE174" s="40"/>
      <c r="AF174" s="40"/>
      <c r="AG174" s="40"/>
      <c r="AH174" s="40"/>
      <c r="AI174" s="42"/>
      <c r="AJ174" s="40"/>
      <c r="AK174" s="40"/>
      <c r="AL174" s="40"/>
    </row>
    <row r="175" spans="1:38" s="32" customFormat="1">
      <c r="A175" s="43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  <c r="AA175" s="40"/>
      <c r="AB175" s="40"/>
      <c r="AC175" s="40"/>
      <c r="AD175" s="40"/>
      <c r="AE175" s="40"/>
      <c r="AF175" s="40"/>
      <c r="AG175" s="40"/>
      <c r="AH175" s="40"/>
      <c r="AI175" s="42"/>
      <c r="AJ175" s="40"/>
      <c r="AK175" s="40"/>
      <c r="AL175" s="40"/>
    </row>
    <row r="176" spans="1:38" s="32" customFormat="1">
      <c r="A176" s="43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  <c r="AA176" s="40"/>
      <c r="AB176" s="40"/>
      <c r="AC176" s="40"/>
      <c r="AD176" s="40"/>
      <c r="AE176" s="40"/>
      <c r="AF176" s="40"/>
      <c r="AG176" s="40"/>
      <c r="AH176" s="40"/>
      <c r="AI176" s="42"/>
      <c r="AJ176" s="40"/>
      <c r="AK176" s="40"/>
      <c r="AL176" s="40"/>
    </row>
    <row r="177" spans="1:38" s="32" customFormat="1">
      <c r="A177" s="43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  <c r="AA177" s="40"/>
      <c r="AB177" s="40"/>
      <c r="AC177" s="40"/>
      <c r="AD177" s="40"/>
      <c r="AE177" s="40"/>
      <c r="AF177" s="40"/>
      <c r="AG177" s="40"/>
      <c r="AH177" s="40"/>
      <c r="AI177" s="42"/>
      <c r="AJ177" s="40"/>
      <c r="AK177" s="40"/>
      <c r="AL177" s="40"/>
    </row>
    <row r="178" spans="1:38" s="32" customFormat="1">
      <c r="A178" s="43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  <c r="AA178" s="40"/>
      <c r="AB178" s="40"/>
      <c r="AC178" s="40"/>
      <c r="AD178" s="40"/>
      <c r="AE178" s="40"/>
      <c r="AF178" s="40"/>
      <c r="AG178" s="40"/>
      <c r="AH178" s="40"/>
      <c r="AI178" s="42"/>
      <c r="AJ178" s="40"/>
      <c r="AK178" s="40"/>
      <c r="AL178" s="40"/>
    </row>
    <row r="179" spans="1:38" s="32" customFormat="1">
      <c r="A179" s="43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  <c r="AA179" s="40"/>
      <c r="AB179" s="40"/>
      <c r="AC179" s="40"/>
      <c r="AD179" s="40"/>
      <c r="AE179" s="40"/>
      <c r="AF179" s="40"/>
      <c r="AG179" s="40"/>
      <c r="AH179" s="40"/>
      <c r="AI179" s="42"/>
      <c r="AJ179" s="40"/>
      <c r="AK179" s="40"/>
      <c r="AL179" s="40"/>
    </row>
    <row r="180" spans="1:38" s="32" customFormat="1">
      <c r="A180" s="43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  <c r="AA180" s="40"/>
      <c r="AB180" s="40"/>
      <c r="AC180" s="40"/>
      <c r="AD180" s="40"/>
      <c r="AE180" s="40"/>
      <c r="AF180" s="40"/>
      <c r="AG180" s="40"/>
      <c r="AH180" s="40"/>
      <c r="AI180" s="42"/>
      <c r="AJ180" s="40"/>
      <c r="AK180" s="40"/>
      <c r="AL180" s="40"/>
    </row>
    <row r="181" spans="1:38" s="32" customFormat="1">
      <c r="A181" s="43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  <c r="AA181" s="40"/>
      <c r="AB181" s="40"/>
      <c r="AC181" s="40"/>
      <c r="AD181" s="40"/>
      <c r="AE181" s="40"/>
      <c r="AF181" s="40"/>
      <c r="AG181" s="40"/>
      <c r="AH181" s="40"/>
      <c r="AI181" s="42"/>
      <c r="AJ181" s="40"/>
      <c r="AK181" s="40"/>
      <c r="AL181" s="40"/>
    </row>
    <row r="182" spans="1:38" s="32" customFormat="1">
      <c r="A182" s="43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  <c r="AA182" s="40"/>
      <c r="AB182" s="40"/>
      <c r="AC182" s="40"/>
      <c r="AD182" s="40"/>
      <c r="AE182" s="40"/>
      <c r="AF182" s="40"/>
      <c r="AG182" s="40"/>
      <c r="AH182" s="40"/>
      <c r="AI182" s="42"/>
      <c r="AJ182" s="40"/>
      <c r="AK182" s="40"/>
      <c r="AL182" s="40"/>
    </row>
    <row r="183" spans="1:38" s="32" customFormat="1">
      <c r="A183" s="43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  <c r="AA183" s="40"/>
      <c r="AB183" s="40"/>
      <c r="AC183" s="40"/>
      <c r="AD183" s="40"/>
      <c r="AE183" s="40"/>
      <c r="AF183" s="40"/>
      <c r="AG183" s="40"/>
      <c r="AH183" s="40"/>
      <c r="AI183" s="42"/>
      <c r="AJ183" s="40"/>
      <c r="AK183" s="40"/>
      <c r="AL183" s="40"/>
    </row>
    <row r="184" spans="1:38" s="32" customFormat="1">
      <c r="A184" s="43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  <c r="AA184" s="40"/>
      <c r="AB184" s="40"/>
      <c r="AC184" s="40"/>
      <c r="AD184" s="40"/>
      <c r="AE184" s="40"/>
      <c r="AF184" s="40"/>
      <c r="AG184" s="40"/>
      <c r="AH184" s="40"/>
      <c r="AI184" s="42"/>
      <c r="AJ184" s="40"/>
      <c r="AK184" s="40"/>
      <c r="AL184" s="40"/>
    </row>
    <row r="185" spans="1:38" s="32" customFormat="1">
      <c r="A185" s="43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  <c r="AA185" s="40"/>
      <c r="AB185" s="40"/>
      <c r="AC185" s="40"/>
      <c r="AD185" s="40"/>
      <c r="AE185" s="40"/>
      <c r="AF185" s="40"/>
      <c r="AG185" s="40"/>
      <c r="AH185" s="40"/>
      <c r="AI185" s="42"/>
      <c r="AJ185" s="40"/>
      <c r="AK185" s="40"/>
      <c r="AL185" s="40"/>
    </row>
    <row r="186" spans="1:38" s="32" customFormat="1">
      <c r="A186" s="43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  <c r="AA186" s="40"/>
      <c r="AB186" s="40"/>
      <c r="AC186" s="40"/>
      <c r="AD186" s="40"/>
      <c r="AE186" s="40"/>
      <c r="AF186" s="40"/>
      <c r="AG186" s="40"/>
      <c r="AH186" s="40"/>
      <c r="AI186" s="42"/>
      <c r="AJ186" s="40"/>
      <c r="AK186" s="40"/>
      <c r="AL186" s="40"/>
    </row>
    <row r="187" spans="1:38" s="32" customFormat="1">
      <c r="A187" s="43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  <c r="AA187" s="40"/>
      <c r="AB187" s="40"/>
      <c r="AC187" s="40"/>
      <c r="AD187" s="40"/>
      <c r="AE187" s="40"/>
      <c r="AF187" s="40"/>
      <c r="AG187" s="40"/>
      <c r="AH187" s="40"/>
      <c r="AI187" s="42"/>
      <c r="AJ187" s="40"/>
      <c r="AK187" s="40"/>
      <c r="AL187" s="40"/>
    </row>
    <row r="188" spans="1:38" s="32" customFormat="1">
      <c r="A188" s="43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  <c r="AA188" s="40"/>
      <c r="AB188" s="40"/>
      <c r="AC188" s="40"/>
      <c r="AD188" s="40"/>
      <c r="AE188" s="40"/>
      <c r="AF188" s="40"/>
      <c r="AG188" s="40"/>
      <c r="AH188" s="40"/>
      <c r="AI188" s="42"/>
      <c r="AJ188" s="40"/>
      <c r="AK188" s="40"/>
      <c r="AL188" s="40"/>
    </row>
    <row r="189" spans="1:38" s="32" customFormat="1">
      <c r="A189" s="43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  <c r="AA189" s="40"/>
      <c r="AB189" s="40"/>
      <c r="AC189" s="40"/>
      <c r="AD189" s="40"/>
      <c r="AE189" s="40"/>
      <c r="AF189" s="40"/>
      <c r="AG189" s="40"/>
      <c r="AH189" s="40"/>
      <c r="AI189" s="42"/>
      <c r="AJ189" s="40"/>
      <c r="AK189" s="40"/>
      <c r="AL189" s="40"/>
    </row>
    <row r="190" spans="1:38" s="32" customFormat="1">
      <c r="A190" s="43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  <c r="AA190" s="40"/>
      <c r="AB190" s="40"/>
      <c r="AC190" s="40"/>
      <c r="AD190" s="40"/>
      <c r="AE190" s="40"/>
      <c r="AF190" s="40"/>
      <c r="AG190" s="40"/>
      <c r="AH190" s="40"/>
      <c r="AI190" s="42"/>
      <c r="AJ190" s="40"/>
      <c r="AK190" s="40"/>
      <c r="AL190" s="40"/>
    </row>
    <row r="191" spans="1:38" s="32" customFormat="1">
      <c r="A191" s="43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  <c r="AA191" s="40"/>
      <c r="AB191" s="40"/>
      <c r="AC191" s="40"/>
      <c r="AD191" s="40"/>
      <c r="AE191" s="40"/>
      <c r="AF191" s="40"/>
      <c r="AG191" s="40"/>
      <c r="AH191" s="40"/>
      <c r="AI191" s="42"/>
      <c r="AJ191" s="40"/>
      <c r="AK191" s="40"/>
      <c r="AL191" s="40"/>
    </row>
    <row r="192" spans="1:38" s="32" customFormat="1">
      <c r="A192" s="43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  <c r="AA192" s="40"/>
      <c r="AB192" s="40"/>
      <c r="AC192" s="40"/>
      <c r="AD192" s="40"/>
      <c r="AE192" s="40"/>
      <c r="AF192" s="40"/>
      <c r="AG192" s="40"/>
      <c r="AH192" s="40"/>
      <c r="AI192" s="42"/>
      <c r="AJ192" s="40"/>
      <c r="AK192" s="40"/>
      <c r="AL192" s="40"/>
    </row>
    <row r="193" spans="1:38" s="32" customFormat="1">
      <c r="A193" s="43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  <c r="AA193" s="40"/>
      <c r="AB193" s="40"/>
      <c r="AC193" s="40"/>
      <c r="AD193" s="40"/>
      <c r="AE193" s="40"/>
      <c r="AF193" s="40"/>
      <c r="AG193" s="40"/>
      <c r="AH193" s="40"/>
      <c r="AI193" s="42"/>
      <c r="AJ193" s="40"/>
      <c r="AK193" s="40"/>
      <c r="AL193" s="40"/>
    </row>
    <row r="194" spans="1:38" s="32" customFormat="1">
      <c r="A194" s="43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  <c r="AA194" s="40"/>
      <c r="AB194" s="40"/>
      <c r="AC194" s="40"/>
      <c r="AD194" s="40"/>
      <c r="AE194" s="40"/>
      <c r="AF194" s="40"/>
      <c r="AG194" s="40"/>
      <c r="AH194" s="40"/>
      <c r="AI194" s="42"/>
      <c r="AJ194" s="40"/>
      <c r="AK194" s="40"/>
      <c r="AL194" s="40"/>
    </row>
    <row r="195" spans="1:38" s="32" customFormat="1">
      <c r="A195" s="43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  <c r="AA195" s="40"/>
      <c r="AB195" s="40"/>
      <c r="AC195" s="40"/>
      <c r="AD195" s="40"/>
      <c r="AE195" s="40"/>
      <c r="AF195" s="40"/>
      <c r="AG195" s="40"/>
      <c r="AH195" s="40"/>
      <c r="AI195" s="42"/>
      <c r="AJ195" s="40"/>
      <c r="AK195" s="40"/>
      <c r="AL195" s="40"/>
    </row>
    <row r="196" spans="1:38" s="32" customFormat="1">
      <c r="A196" s="43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  <c r="AA196" s="40"/>
      <c r="AB196" s="40"/>
      <c r="AC196" s="40"/>
      <c r="AD196" s="40"/>
      <c r="AE196" s="40"/>
      <c r="AF196" s="40"/>
      <c r="AG196" s="40"/>
      <c r="AH196" s="40"/>
      <c r="AI196" s="42"/>
      <c r="AJ196" s="40"/>
      <c r="AK196" s="40"/>
      <c r="AL196" s="40"/>
    </row>
    <row r="197" spans="1:38" s="32" customFormat="1">
      <c r="A197" s="43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  <c r="AA197" s="40"/>
      <c r="AB197" s="40"/>
      <c r="AC197" s="40"/>
      <c r="AD197" s="40"/>
      <c r="AE197" s="40"/>
      <c r="AF197" s="40"/>
      <c r="AG197" s="40"/>
      <c r="AH197" s="40"/>
      <c r="AI197" s="42"/>
      <c r="AJ197" s="40"/>
      <c r="AK197" s="40"/>
      <c r="AL197" s="40"/>
    </row>
    <row r="198" spans="1:38" s="32" customFormat="1">
      <c r="A198" s="43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  <c r="AA198" s="40"/>
      <c r="AB198" s="40"/>
      <c r="AC198" s="40"/>
      <c r="AD198" s="40"/>
      <c r="AE198" s="40"/>
      <c r="AF198" s="40"/>
      <c r="AG198" s="40"/>
      <c r="AH198" s="40"/>
      <c r="AI198" s="42"/>
      <c r="AJ198" s="40"/>
      <c r="AK198" s="40"/>
      <c r="AL198" s="40"/>
    </row>
    <row r="199" spans="1:38" s="32" customFormat="1">
      <c r="A199" s="43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  <c r="AA199" s="40"/>
      <c r="AB199" s="40"/>
      <c r="AC199" s="40"/>
      <c r="AD199" s="40"/>
      <c r="AE199" s="40"/>
      <c r="AF199" s="40"/>
      <c r="AG199" s="40"/>
      <c r="AH199" s="40"/>
      <c r="AI199" s="42"/>
      <c r="AJ199" s="40"/>
      <c r="AK199" s="40"/>
      <c r="AL199" s="40"/>
    </row>
    <row r="200" spans="1:38" s="32" customFormat="1">
      <c r="A200" s="43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  <c r="AA200" s="40"/>
      <c r="AB200" s="40"/>
      <c r="AC200" s="40"/>
      <c r="AD200" s="40"/>
      <c r="AE200" s="40"/>
      <c r="AF200" s="40"/>
      <c r="AG200" s="40"/>
      <c r="AH200" s="40"/>
      <c r="AI200" s="42"/>
      <c r="AJ200" s="40"/>
      <c r="AK200" s="40"/>
      <c r="AL200" s="40"/>
    </row>
    <row r="201" spans="1:38" s="32" customFormat="1">
      <c r="A201" s="43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  <c r="AA201" s="40"/>
      <c r="AB201" s="40"/>
      <c r="AC201" s="40"/>
      <c r="AD201" s="40"/>
      <c r="AE201" s="40"/>
      <c r="AF201" s="40"/>
      <c r="AG201" s="40"/>
      <c r="AH201" s="40"/>
      <c r="AI201" s="42"/>
      <c r="AJ201" s="40"/>
      <c r="AK201" s="40"/>
      <c r="AL201" s="40"/>
    </row>
    <row r="202" spans="1:38" s="32" customFormat="1">
      <c r="A202" s="43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  <c r="AA202" s="40"/>
      <c r="AB202" s="40"/>
      <c r="AC202" s="40"/>
      <c r="AD202" s="40"/>
      <c r="AE202" s="40"/>
      <c r="AF202" s="40"/>
      <c r="AG202" s="40"/>
      <c r="AH202" s="40"/>
      <c r="AI202" s="42"/>
      <c r="AJ202" s="40"/>
      <c r="AK202" s="40"/>
      <c r="AL202" s="40"/>
    </row>
    <row r="203" spans="1:38" s="32" customFormat="1">
      <c r="A203" s="43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  <c r="AA203" s="40"/>
      <c r="AB203" s="40"/>
      <c r="AC203" s="40"/>
      <c r="AD203" s="40"/>
      <c r="AE203" s="40"/>
      <c r="AF203" s="40"/>
      <c r="AG203" s="40"/>
      <c r="AH203" s="40"/>
      <c r="AI203" s="42"/>
      <c r="AJ203" s="40"/>
      <c r="AK203" s="40"/>
      <c r="AL203" s="40"/>
    </row>
    <row r="204" spans="1:38" s="32" customFormat="1">
      <c r="A204" s="43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  <c r="AA204" s="40"/>
      <c r="AB204" s="40"/>
      <c r="AC204" s="40"/>
      <c r="AD204" s="40"/>
      <c r="AE204" s="40"/>
      <c r="AF204" s="40"/>
      <c r="AG204" s="40"/>
      <c r="AH204" s="40"/>
      <c r="AI204" s="42"/>
      <c r="AJ204" s="40"/>
      <c r="AK204" s="40"/>
      <c r="AL204" s="40"/>
    </row>
    <row r="205" spans="1:38" s="32" customFormat="1">
      <c r="A205" s="43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  <c r="AA205" s="40"/>
      <c r="AB205" s="40"/>
      <c r="AC205" s="40"/>
      <c r="AD205" s="40"/>
      <c r="AE205" s="40"/>
      <c r="AF205" s="40"/>
      <c r="AG205" s="40"/>
      <c r="AH205" s="40"/>
      <c r="AI205" s="42"/>
      <c r="AJ205" s="40"/>
      <c r="AK205" s="40"/>
      <c r="AL205" s="40"/>
    </row>
    <row r="206" spans="1:38" s="32" customFormat="1">
      <c r="A206" s="43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  <c r="AA206" s="40"/>
      <c r="AB206" s="40"/>
      <c r="AC206" s="40"/>
      <c r="AD206" s="40"/>
      <c r="AE206" s="40"/>
      <c r="AF206" s="40"/>
      <c r="AG206" s="40"/>
      <c r="AH206" s="40"/>
      <c r="AI206" s="42"/>
      <c r="AJ206" s="40"/>
      <c r="AK206" s="40"/>
      <c r="AL206" s="40"/>
    </row>
    <row r="207" spans="1:38" s="32" customFormat="1">
      <c r="A207" s="43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  <c r="AA207" s="40"/>
      <c r="AB207" s="40"/>
      <c r="AC207" s="40"/>
      <c r="AD207" s="40"/>
      <c r="AE207" s="40"/>
      <c r="AF207" s="40"/>
      <c r="AG207" s="40"/>
      <c r="AH207" s="40"/>
      <c r="AI207" s="42"/>
      <c r="AJ207" s="40"/>
      <c r="AK207" s="40"/>
      <c r="AL207" s="40"/>
    </row>
    <row r="208" spans="1:38" s="32" customFormat="1">
      <c r="A208" s="43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  <c r="AA208" s="40"/>
      <c r="AB208" s="40"/>
      <c r="AC208" s="40"/>
      <c r="AD208" s="40"/>
      <c r="AE208" s="40"/>
      <c r="AF208" s="40"/>
      <c r="AG208" s="40"/>
      <c r="AH208" s="40"/>
      <c r="AI208" s="42"/>
      <c r="AJ208" s="40"/>
      <c r="AK208" s="40"/>
      <c r="AL208" s="40"/>
    </row>
    <row r="209" spans="1:38" s="32" customFormat="1">
      <c r="A209" s="43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  <c r="AA209" s="40"/>
      <c r="AB209" s="40"/>
      <c r="AC209" s="40"/>
      <c r="AD209" s="40"/>
      <c r="AE209" s="40"/>
      <c r="AF209" s="40"/>
      <c r="AG209" s="40"/>
      <c r="AH209" s="40"/>
      <c r="AI209" s="42"/>
      <c r="AJ209" s="40"/>
      <c r="AK209" s="40"/>
      <c r="AL209" s="40"/>
    </row>
    <row r="210" spans="1:38" s="32" customFormat="1">
      <c r="A210" s="43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  <c r="AA210" s="40"/>
      <c r="AB210" s="40"/>
      <c r="AC210" s="40"/>
      <c r="AD210" s="40"/>
      <c r="AE210" s="40"/>
      <c r="AF210" s="40"/>
      <c r="AG210" s="40"/>
      <c r="AH210" s="40"/>
      <c r="AI210" s="42"/>
      <c r="AJ210" s="40"/>
      <c r="AK210" s="40"/>
      <c r="AL210" s="40"/>
    </row>
    <row r="211" spans="1:38" s="32" customFormat="1">
      <c r="A211" s="43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  <c r="AA211" s="40"/>
      <c r="AB211" s="40"/>
      <c r="AC211" s="40"/>
      <c r="AD211" s="40"/>
      <c r="AE211" s="40"/>
      <c r="AF211" s="40"/>
      <c r="AG211" s="40"/>
      <c r="AH211" s="40"/>
      <c r="AI211" s="42"/>
      <c r="AJ211" s="40"/>
      <c r="AK211" s="40"/>
      <c r="AL211" s="40"/>
    </row>
    <row r="212" spans="1:38" s="32" customFormat="1">
      <c r="A212" s="43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  <c r="AA212" s="40"/>
      <c r="AB212" s="40"/>
      <c r="AC212" s="40"/>
      <c r="AD212" s="40"/>
      <c r="AE212" s="40"/>
      <c r="AF212" s="40"/>
      <c r="AG212" s="40"/>
      <c r="AH212" s="40"/>
      <c r="AI212" s="42"/>
      <c r="AJ212" s="40"/>
      <c r="AK212" s="40"/>
      <c r="AL212" s="40"/>
    </row>
    <row r="213" spans="1:38" s="32" customFormat="1">
      <c r="A213" s="43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  <c r="AA213" s="40"/>
      <c r="AB213" s="40"/>
      <c r="AC213" s="40"/>
      <c r="AD213" s="40"/>
      <c r="AE213" s="40"/>
      <c r="AF213" s="40"/>
      <c r="AG213" s="40"/>
      <c r="AH213" s="40"/>
      <c r="AI213" s="42"/>
      <c r="AJ213" s="40"/>
      <c r="AK213" s="40"/>
      <c r="AL213" s="40"/>
    </row>
    <row r="214" spans="1:38" s="32" customFormat="1">
      <c r="A214" s="43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  <c r="AA214" s="40"/>
      <c r="AB214" s="40"/>
      <c r="AC214" s="40"/>
      <c r="AD214" s="40"/>
      <c r="AE214" s="40"/>
      <c r="AF214" s="40"/>
      <c r="AG214" s="40"/>
      <c r="AH214" s="40"/>
      <c r="AI214" s="42"/>
      <c r="AJ214" s="40"/>
      <c r="AK214" s="40"/>
      <c r="AL214" s="40"/>
    </row>
    <row r="215" spans="1:38" s="32" customFormat="1">
      <c r="A215" s="43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  <c r="AA215" s="40"/>
      <c r="AB215" s="40"/>
      <c r="AC215" s="40"/>
      <c r="AD215" s="40"/>
      <c r="AE215" s="40"/>
      <c r="AF215" s="40"/>
      <c r="AG215" s="40"/>
      <c r="AH215" s="40"/>
      <c r="AI215" s="42"/>
      <c r="AJ215" s="40"/>
      <c r="AK215" s="40"/>
      <c r="AL215" s="40"/>
    </row>
    <row r="216" spans="1:38" s="32" customFormat="1">
      <c r="A216" s="43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  <c r="AA216" s="40"/>
      <c r="AB216" s="40"/>
      <c r="AC216" s="40"/>
      <c r="AD216" s="40"/>
      <c r="AE216" s="40"/>
      <c r="AF216" s="40"/>
      <c r="AG216" s="40"/>
      <c r="AH216" s="40"/>
      <c r="AI216" s="42"/>
      <c r="AJ216" s="40"/>
      <c r="AK216" s="40"/>
      <c r="AL216" s="40"/>
    </row>
    <row r="217" spans="1:38" s="32" customFormat="1">
      <c r="A217" s="43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  <c r="AA217" s="40"/>
      <c r="AB217" s="40"/>
      <c r="AC217" s="40"/>
      <c r="AD217" s="40"/>
      <c r="AE217" s="40"/>
      <c r="AF217" s="40"/>
      <c r="AG217" s="40"/>
      <c r="AH217" s="40"/>
      <c r="AI217" s="42"/>
      <c r="AJ217" s="40"/>
      <c r="AK217" s="40"/>
      <c r="AL217" s="40"/>
    </row>
    <row r="218" spans="1:38" s="32" customFormat="1">
      <c r="A218" s="43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  <c r="AA218" s="40"/>
      <c r="AB218" s="40"/>
      <c r="AC218" s="40"/>
      <c r="AD218" s="40"/>
      <c r="AE218" s="40"/>
      <c r="AF218" s="40"/>
      <c r="AG218" s="40"/>
      <c r="AH218" s="40"/>
      <c r="AI218" s="42"/>
      <c r="AJ218" s="40"/>
      <c r="AK218" s="40"/>
      <c r="AL218" s="40"/>
    </row>
    <row r="219" spans="1:38" s="32" customFormat="1">
      <c r="A219" s="43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  <c r="AA219" s="40"/>
      <c r="AB219" s="40"/>
      <c r="AC219" s="40"/>
      <c r="AD219" s="40"/>
      <c r="AE219" s="40"/>
      <c r="AF219" s="40"/>
      <c r="AG219" s="40"/>
      <c r="AH219" s="40"/>
      <c r="AI219" s="42"/>
      <c r="AJ219" s="40"/>
      <c r="AK219" s="40"/>
      <c r="AL219" s="40"/>
    </row>
    <row r="220" spans="1:38" s="32" customFormat="1">
      <c r="A220" s="43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  <c r="AA220" s="40"/>
      <c r="AB220" s="40"/>
      <c r="AC220" s="40"/>
      <c r="AD220" s="40"/>
      <c r="AE220" s="40"/>
      <c r="AF220" s="40"/>
      <c r="AG220" s="40"/>
      <c r="AH220" s="40"/>
      <c r="AI220" s="42"/>
      <c r="AJ220" s="40"/>
      <c r="AK220" s="40"/>
      <c r="AL220" s="40"/>
    </row>
    <row r="221" spans="1:38" s="32" customFormat="1">
      <c r="A221" s="43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  <c r="AA221" s="40"/>
      <c r="AB221" s="40"/>
      <c r="AC221" s="40"/>
      <c r="AD221" s="40"/>
      <c r="AE221" s="40"/>
      <c r="AF221" s="40"/>
      <c r="AG221" s="40"/>
      <c r="AH221" s="40"/>
      <c r="AI221" s="42"/>
      <c r="AJ221" s="40"/>
      <c r="AK221" s="40"/>
      <c r="AL221" s="40"/>
    </row>
    <row r="222" spans="1:38" s="32" customFormat="1">
      <c r="A222" s="43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  <c r="AA222" s="40"/>
      <c r="AB222" s="40"/>
      <c r="AC222" s="40"/>
      <c r="AD222" s="40"/>
      <c r="AE222" s="40"/>
      <c r="AF222" s="40"/>
      <c r="AG222" s="40"/>
      <c r="AH222" s="40"/>
      <c r="AI222" s="42"/>
      <c r="AJ222" s="40"/>
      <c r="AK222" s="40"/>
      <c r="AL222" s="40"/>
    </row>
    <row r="223" spans="1:38" s="32" customFormat="1">
      <c r="A223" s="43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  <c r="AA223" s="40"/>
      <c r="AB223" s="40"/>
      <c r="AC223" s="40"/>
      <c r="AD223" s="40"/>
      <c r="AE223" s="40"/>
      <c r="AF223" s="40"/>
      <c r="AG223" s="40"/>
      <c r="AH223" s="40"/>
      <c r="AI223" s="42"/>
      <c r="AJ223" s="40"/>
      <c r="AK223" s="40"/>
      <c r="AL223" s="40"/>
    </row>
    <row r="224" spans="1:38" s="32" customFormat="1">
      <c r="A224" s="43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  <c r="AA224" s="40"/>
      <c r="AB224" s="40"/>
      <c r="AC224" s="40"/>
      <c r="AD224" s="40"/>
      <c r="AE224" s="40"/>
      <c r="AF224" s="40"/>
      <c r="AG224" s="40"/>
      <c r="AH224" s="40"/>
      <c r="AI224" s="42"/>
      <c r="AJ224" s="40"/>
      <c r="AK224" s="40"/>
      <c r="AL224" s="40"/>
    </row>
    <row r="225" spans="1:44" s="32" customFormat="1">
      <c r="A225" s="43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  <c r="AA225" s="40"/>
      <c r="AB225" s="40"/>
      <c r="AC225" s="40"/>
      <c r="AD225" s="40"/>
      <c r="AE225" s="40"/>
      <c r="AF225" s="40"/>
      <c r="AG225" s="40"/>
      <c r="AH225" s="40"/>
      <c r="AI225" s="42"/>
      <c r="AJ225" s="40"/>
      <c r="AK225" s="40"/>
      <c r="AL225" s="40"/>
    </row>
    <row r="226" spans="1:44" s="32" customFormat="1">
      <c r="A226" s="43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  <c r="AA226" s="40"/>
      <c r="AB226" s="40"/>
      <c r="AC226" s="40"/>
      <c r="AD226" s="40"/>
      <c r="AE226" s="40"/>
      <c r="AF226" s="40"/>
      <c r="AG226" s="40"/>
      <c r="AH226" s="40"/>
      <c r="AI226" s="42"/>
      <c r="AJ226" s="40"/>
      <c r="AK226" s="40"/>
      <c r="AL226" s="40"/>
    </row>
    <row r="227" spans="1:44" s="32" customFormat="1">
      <c r="A227" s="43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  <c r="AA227" s="40"/>
      <c r="AB227" s="40"/>
      <c r="AC227" s="40"/>
      <c r="AD227" s="40"/>
      <c r="AE227" s="40"/>
      <c r="AF227" s="40"/>
      <c r="AG227" s="40"/>
      <c r="AH227" s="40"/>
      <c r="AI227" s="42"/>
      <c r="AJ227" s="40"/>
      <c r="AK227" s="40"/>
      <c r="AL227" s="40"/>
    </row>
    <row r="228" spans="1:44" s="32" customFormat="1">
      <c r="A228" s="43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  <c r="AA228" s="40"/>
      <c r="AB228" s="40"/>
      <c r="AC228" s="40"/>
      <c r="AD228" s="40"/>
      <c r="AE228" s="40"/>
      <c r="AF228" s="40"/>
      <c r="AG228" s="40"/>
      <c r="AH228" s="40"/>
      <c r="AI228" s="42"/>
      <c r="AJ228" s="40"/>
      <c r="AK228" s="40"/>
      <c r="AL228" s="40"/>
    </row>
    <row r="229" spans="1:44" s="32" customFormat="1">
      <c r="A229" s="43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  <c r="AA229" s="40"/>
      <c r="AB229" s="40"/>
      <c r="AC229" s="40"/>
      <c r="AD229" s="40"/>
      <c r="AE229" s="40"/>
      <c r="AF229" s="40"/>
      <c r="AG229" s="40"/>
      <c r="AH229" s="40"/>
      <c r="AI229" s="42"/>
      <c r="AJ229" s="40"/>
      <c r="AK229" s="40"/>
      <c r="AL229" s="40"/>
    </row>
    <row r="230" spans="1:44" s="32" customFormat="1">
      <c r="A230" s="43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  <c r="AA230" s="40"/>
      <c r="AB230" s="40"/>
      <c r="AC230" s="40"/>
      <c r="AD230" s="40"/>
      <c r="AE230" s="40"/>
      <c r="AF230" s="40"/>
      <c r="AG230" s="40"/>
      <c r="AH230" s="40"/>
      <c r="AI230" s="42"/>
      <c r="AJ230" s="40"/>
      <c r="AK230" s="40"/>
      <c r="AL230" s="40"/>
    </row>
    <row r="231" spans="1:44" s="32" customFormat="1">
      <c r="A231" s="43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  <c r="AA231" s="40"/>
      <c r="AB231" s="40"/>
      <c r="AC231" s="40"/>
      <c r="AD231" s="40"/>
      <c r="AE231" s="40"/>
      <c r="AF231" s="40"/>
      <c r="AG231" s="40"/>
      <c r="AH231" s="40"/>
      <c r="AI231" s="42"/>
      <c r="AJ231" s="40"/>
      <c r="AK231" s="40"/>
      <c r="AL231" s="40"/>
    </row>
    <row r="232" spans="1:44" s="32" customFormat="1">
      <c r="A232" s="43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  <c r="AA232" s="40"/>
      <c r="AB232" s="40"/>
      <c r="AC232" s="40"/>
      <c r="AD232" s="40"/>
      <c r="AE232" s="40"/>
      <c r="AF232" s="40"/>
      <c r="AG232" s="40"/>
      <c r="AH232" s="40"/>
      <c r="AI232" s="42"/>
      <c r="AJ232" s="40"/>
      <c r="AK232" s="40"/>
      <c r="AL232" s="40"/>
    </row>
    <row r="233" spans="1:44" s="32" customFormat="1">
      <c r="A233" s="43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  <c r="AA233" s="40"/>
      <c r="AB233" s="40"/>
      <c r="AC233" s="40"/>
      <c r="AD233" s="40"/>
      <c r="AE233" s="40"/>
      <c r="AF233" s="40"/>
      <c r="AG233" s="40"/>
      <c r="AH233" s="40"/>
      <c r="AI233" s="42"/>
      <c r="AJ233" s="40"/>
      <c r="AK233" s="40"/>
      <c r="AL233" s="40"/>
    </row>
    <row r="234" spans="1:44">
      <c r="AM234" s="32"/>
      <c r="AN234" s="32"/>
      <c r="AO234" s="32"/>
      <c r="AP234" s="32"/>
      <c r="AQ234" s="32"/>
      <c r="AR234" s="32"/>
    </row>
    <row r="235" spans="1:44">
      <c r="AM235" s="32"/>
      <c r="AN235" s="32"/>
      <c r="AO235" s="32"/>
      <c r="AP235" s="32"/>
      <c r="AQ235" s="32"/>
      <c r="AR235" s="32"/>
    </row>
    <row r="236" spans="1:44">
      <c r="AM236" s="32"/>
      <c r="AN236" s="32"/>
      <c r="AO236" s="32"/>
      <c r="AP236" s="32"/>
      <c r="AQ236" s="32"/>
      <c r="AR236" s="32"/>
    </row>
    <row r="237" spans="1:44">
      <c r="AM237" s="32"/>
      <c r="AN237" s="32"/>
      <c r="AO237" s="32"/>
      <c r="AP237" s="32"/>
      <c r="AQ237" s="32"/>
      <c r="AR237" s="32"/>
    </row>
    <row r="238" spans="1:44">
      <c r="AM238" s="32"/>
      <c r="AN238" s="32"/>
      <c r="AO238" s="32"/>
      <c r="AP238" s="32"/>
      <c r="AQ238" s="32"/>
      <c r="AR238" s="32"/>
    </row>
    <row r="239" spans="1:44">
      <c r="AM239" s="32"/>
      <c r="AN239" s="32"/>
      <c r="AO239" s="32"/>
      <c r="AP239" s="32"/>
      <c r="AQ239" s="32"/>
      <c r="AR239" s="32"/>
    </row>
    <row r="240" spans="1:44">
      <c r="AM240" s="32"/>
      <c r="AN240" s="32"/>
      <c r="AO240" s="32"/>
      <c r="AP240" s="32"/>
      <c r="AQ240" s="32"/>
      <c r="AR240" s="32"/>
    </row>
  </sheetData>
  <mergeCells count="34">
    <mergeCell ref="A18:C18"/>
    <mergeCell ref="A19:C19"/>
    <mergeCell ref="AM4:AM5"/>
    <mergeCell ref="AN4:AN5"/>
    <mergeCell ref="A17:C17"/>
    <mergeCell ref="A14:C14"/>
    <mergeCell ref="A15:C15"/>
    <mergeCell ref="AR4:AR5"/>
    <mergeCell ref="AQ4:AQ5"/>
    <mergeCell ref="A16:C16"/>
    <mergeCell ref="A12:D12"/>
    <mergeCell ref="A13:C13"/>
    <mergeCell ref="AI13:AP13"/>
    <mergeCell ref="AL4:AL5"/>
    <mergeCell ref="AP4:AP5"/>
    <mergeCell ref="D11:Q11"/>
    <mergeCell ref="AN3:AO3"/>
    <mergeCell ref="A3:AM3"/>
    <mergeCell ref="A4:A5"/>
    <mergeCell ref="B4:B5"/>
    <mergeCell ref="C4:C5"/>
    <mergeCell ref="AI4:AI5"/>
    <mergeCell ref="AJ4:AJ5"/>
    <mergeCell ref="AK4:AK5"/>
    <mergeCell ref="AO4:AO5"/>
    <mergeCell ref="AO31:AS31"/>
    <mergeCell ref="L30:S30"/>
    <mergeCell ref="D23:G23"/>
    <mergeCell ref="K23:T23"/>
    <mergeCell ref="X23:AJ23"/>
    <mergeCell ref="AO23:AS23"/>
    <mergeCell ref="AP30:AR30"/>
    <mergeCell ref="D31:F31"/>
    <mergeCell ref="AB31:AF31"/>
  </mergeCells>
  <pageMargins left="0.7" right="0.7" top="0.75" bottom="0.75" header="0.3" footer="0.3"/>
  <pageSetup paperSize="9" scale="30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C245"/>
  <sheetViews>
    <sheetView view="pageBreakPreview" zoomScale="80" zoomScaleNormal="85" zoomScaleSheetLayoutView="80" workbookViewId="0">
      <pane xSplit="3" ySplit="5" topLeftCell="D6" activePane="bottomRight" state="frozen"/>
      <selection pane="topRight" activeCell="D1" sqref="D1"/>
      <selection pane="bottomLeft" activeCell="A5" sqref="A5"/>
      <selection pane="bottomRight" activeCell="T9" sqref="T9"/>
    </sheetView>
  </sheetViews>
  <sheetFormatPr defaultColWidth="8.85546875" defaultRowHeight="15"/>
  <cols>
    <col min="1" max="1" width="6.140625" style="8" customWidth="1"/>
    <col min="2" max="2" width="31.85546875" style="1" customWidth="1"/>
    <col min="3" max="3" width="12.42578125" style="1" customWidth="1"/>
    <col min="4" max="5" width="4.7109375" style="5" customWidth="1"/>
    <col min="6" max="6" width="5.140625" style="5" customWidth="1"/>
    <col min="7" max="30" width="4.28515625" style="5" customWidth="1"/>
    <col min="31" max="31" width="5.7109375" style="5" customWidth="1"/>
    <col min="32" max="32" width="5.140625" style="5" customWidth="1"/>
    <col min="33" max="33" width="4.28515625" style="5" customWidth="1"/>
    <col min="34" max="34" width="5" style="5" hidden="1" customWidth="1"/>
    <col min="35" max="35" width="8.85546875" style="5" customWidth="1"/>
    <col min="36" max="38" width="6.28515625" style="5" customWidth="1"/>
    <col min="39" max="39" width="8.28515625" style="5" customWidth="1"/>
    <col min="40" max="40" width="10.7109375" style="1" customWidth="1"/>
    <col min="41" max="42" width="12.7109375" style="1" customWidth="1"/>
    <col min="43" max="43" width="10.85546875" style="1" customWidth="1"/>
    <col min="44" max="44" width="12.7109375" style="1" customWidth="1"/>
    <col min="45" max="45" width="12.5703125" style="1" customWidth="1"/>
    <col min="46" max="46" width="15.5703125" style="1" customWidth="1"/>
    <col min="47" max="47" width="9.7109375" style="1" hidden="1" customWidth="1"/>
    <col min="48" max="52" width="0" style="1" hidden="1" customWidth="1"/>
    <col min="53" max="16384" width="8.85546875" style="1"/>
  </cols>
  <sheetData>
    <row r="1" spans="1:55" ht="15" customHeight="1">
      <c r="A1" s="14" t="s">
        <v>16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8"/>
      <c r="AH1" s="48"/>
      <c r="AI1" s="48"/>
      <c r="AJ1" s="48"/>
      <c r="AK1" s="48"/>
      <c r="AL1" s="48"/>
      <c r="AM1" s="48"/>
      <c r="AN1" s="48"/>
      <c r="AO1" s="48"/>
    </row>
    <row r="2" spans="1:55" ht="15" customHeight="1">
      <c r="A2" s="14" t="s">
        <v>17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</row>
    <row r="3" spans="1:55" ht="63" customHeight="1">
      <c r="A3" s="405" t="s">
        <v>129</v>
      </c>
      <c r="B3" s="405"/>
      <c r="C3" s="405"/>
      <c r="D3" s="405"/>
      <c r="E3" s="405"/>
      <c r="F3" s="405"/>
      <c r="G3" s="405"/>
      <c r="H3" s="405"/>
      <c r="I3" s="405"/>
      <c r="J3" s="405"/>
      <c r="K3" s="405"/>
      <c r="L3" s="405"/>
      <c r="M3" s="405"/>
      <c r="N3" s="405"/>
      <c r="O3" s="405"/>
      <c r="P3" s="405"/>
      <c r="Q3" s="405"/>
      <c r="R3" s="405"/>
      <c r="S3" s="405"/>
      <c r="T3" s="405"/>
      <c r="U3" s="405"/>
      <c r="V3" s="405"/>
      <c r="W3" s="405"/>
      <c r="X3" s="405"/>
      <c r="Y3" s="405"/>
      <c r="Z3" s="405"/>
      <c r="AA3" s="405"/>
      <c r="AB3" s="405"/>
      <c r="AC3" s="405"/>
      <c r="AD3" s="405"/>
      <c r="AE3" s="405"/>
      <c r="AF3" s="405"/>
      <c r="AG3" s="405"/>
      <c r="AH3" s="405"/>
      <c r="AI3" s="405"/>
      <c r="AJ3" s="405"/>
      <c r="AK3" s="405"/>
      <c r="AL3" s="405"/>
      <c r="AM3" s="405"/>
      <c r="AN3" s="405"/>
      <c r="AO3" s="54"/>
      <c r="AP3" s="9"/>
      <c r="AQ3" s="9"/>
      <c r="AR3" s="108" t="s">
        <v>7</v>
      </c>
      <c r="AS3" s="109">
        <v>26</v>
      </c>
      <c r="AU3" s="409" t="s">
        <v>103</v>
      </c>
      <c r="AV3" s="410"/>
      <c r="AW3" s="410"/>
    </row>
    <row r="4" spans="1:55" ht="45" customHeight="1">
      <c r="A4" s="406" t="s">
        <v>0</v>
      </c>
      <c r="B4" s="406" t="s">
        <v>1</v>
      </c>
      <c r="C4" s="406" t="s">
        <v>8</v>
      </c>
      <c r="D4" s="215">
        <v>46174</v>
      </c>
      <c r="E4" s="47">
        <f>D4+1</f>
        <v>46175</v>
      </c>
      <c r="F4" s="47">
        <f t="shared" ref="F4:AH4" si="0">E4+1</f>
        <v>46176</v>
      </c>
      <c r="G4" s="47">
        <f t="shared" si="0"/>
        <v>46177</v>
      </c>
      <c r="H4" s="47">
        <f t="shared" si="0"/>
        <v>46178</v>
      </c>
      <c r="I4" s="47">
        <f t="shared" si="0"/>
        <v>46179</v>
      </c>
      <c r="J4" s="47">
        <f t="shared" si="0"/>
        <v>46180</v>
      </c>
      <c r="K4" s="47">
        <f t="shared" si="0"/>
        <v>46181</v>
      </c>
      <c r="L4" s="47">
        <f t="shared" si="0"/>
        <v>46182</v>
      </c>
      <c r="M4" s="47">
        <f t="shared" si="0"/>
        <v>46183</v>
      </c>
      <c r="N4" s="47">
        <f t="shared" si="0"/>
        <v>46184</v>
      </c>
      <c r="O4" s="47">
        <f t="shared" si="0"/>
        <v>46185</v>
      </c>
      <c r="P4" s="47">
        <f t="shared" si="0"/>
        <v>46186</v>
      </c>
      <c r="Q4" s="47">
        <f t="shared" si="0"/>
        <v>46187</v>
      </c>
      <c r="R4" s="47">
        <f t="shared" si="0"/>
        <v>46188</v>
      </c>
      <c r="S4" s="47">
        <f t="shared" si="0"/>
        <v>46189</v>
      </c>
      <c r="T4" s="47">
        <f t="shared" si="0"/>
        <v>46190</v>
      </c>
      <c r="U4" s="47">
        <f t="shared" si="0"/>
        <v>46191</v>
      </c>
      <c r="V4" s="47">
        <f t="shared" si="0"/>
        <v>46192</v>
      </c>
      <c r="W4" s="47">
        <f t="shared" si="0"/>
        <v>46193</v>
      </c>
      <c r="X4" s="47">
        <f t="shared" si="0"/>
        <v>46194</v>
      </c>
      <c r="Y4" s="47">
        <f t="shared" si="0"/>
        <v>46195</v>
      </c>
      <c r="Z4" s="47">
        <f t="shared" si="0"/>
        <v>46196</v>
      </c>
      <c r="AA4" s="47">
        <f t="shared" si="0"/>
        <v>46197</v>
      </c>
      <c r="AB4" s="47">
        <f t="shared" si="0"/>
        <v>46198</v>
      </c>
      <c r="AC4" s="47">
        <f t="shared" si="0"/>
        <v>46199</v>
      </c>
      <c r="AD4" s="47">
        <f t="shared" si="0"/>
        <v>46200</v>
      </c>
      <c r="AE4" s="47">
        <f t="shared" si="0"/>
        <v>46201</v>
      </c>
      <c r="AF4" s="47">
        <f t="shared" si="0"/>
        <v>46202</v>
      </c>
      <c r="AG4" s="47">
        <f t="shared" si="0"/>
        <v>46203</v>
      </c>
      <c r="AH4" s="47">
        <f t="shared" si="0"/>
        <v>46204</v>
      </c>
      <c r="AI4" s="383" t="s">
        <v>9</v>
      </c>
      <c r="AJ4" s="383" t="s">
        <v>44</v>
      </c>
      <c r="AK4" s="383" t="s">
        <v>10</v>
      </c>
      <c r="AL4" s="383" t="s">
        <v>79</v>
      </c>
      <c r="AM4" s="407" t="s">
        <v>11</v>
      </c>
      <c r="AN4" s="407" t="s">
        <v>9</v>
      </c>
      <c r="AO4" s="407" t="s">
        <v>42</v>
      </c>
      <c r="AP4" s="407" t="s">
        <v>43</v>
      </c>
      <c r="AQ4" s="385" t="s">
        <v>79</v>
      </c>
      <c r="AR4" s="407" t="s">
        <v>12</v>
      </c>
      <c r="AS4" s="387" t="s">
        <v>4</v>
      </c>
      <c r="AT4" s="388" t="s">
        <v>5</v>
      </c>
      <c r="AU4" s="407" t="s">
        <v>112</v>
      </c>
      <c r="AV4" s="407" t="s">
        <v>113</v>
      </c>
      <c r="AW4" s="407" t="s">
        <v>114</v>
      </c>
      <c r="AX4" s="407" t="s">
        <v>102</v>
      </c>
      <c r="AY4" s="407" t="s">
        <v>100</v>
      </c>
      <c r="AZ4" s="407" t="s">
        <v>101</v>
      </c>
      <c r="BA4" s="404" t="s">
        <v>115</v>
      </c>
      <c r="BB4" s="404" t="s">
        <v>116</v>
      </c>
      <c r="BC4" s="404" t="s">
        <v>117</v>
      </c>
    </row>
    <row r="5" spans="1:55" ht="63" customHeight="1">
      <c r="A5" s="406"/>
      <c r="B5" s="406"/>
      <c r="C5" s="406"/>
      <c r="D5" s="214" t="str">
        <f t="shared" ref="D5:AH5" si="1">IF(WEEKDAY(D4)=1,"CN","T "&amp;WEEKDAY(D4))</f>
        <v>T 2</v>
      </c>
      <c r="E5" s="214" t="str">
        <f t="shared" si="1"/>
        <v>T 3</v>
      </c>
      <c r="F5" s="214" t="str">
        <f t="shared" si="1"/>
        <v>T 4</v>
      </c>
      <c r="G5" s="214" t="str">
        <f t="shared" si="1"/>
        <v>T 5</v>
      </c>
      <c r="H5" s="214" t="str">
        <f t="shared" si="1"/>
        <v>T 6</v>
      </c>
      <c r="I5" s="214" t="str">
        <f t="shared" si="1"/>
        <v>T 7</v>
      </c>
      <c r="J5" s="214" t="str">
        <f t="shared" si="1"/>
        <v>CN</v>
      </c>
      <c r="K5" s="214" t="str">
        <f t="shared" si="1"/>
        <v>T 2</v>
      </c>
      <c r="L5" s="214" t="str">
        <f t="shared" si="1"/>
        <v>T 3</v>
      </c>
      <c r="M5" s="214" t="str">
        <f t="shared" si="1"/>
        <v>T 4</v>
      </c>
      <c r="N5" s="214" t="str">
        <f t="shared" si="1"/>
        <v>T 5</v>
      </c>
      <c r="O5" s="214" t="str">
        <f t="shared" si="1"/>
        <v>T 6</v>
      </c>
      <c r="P5" s="214" t="str">
        <f t="shared" si="1"/>
        <v>T 7</v>
      </c>
      <c r="Q5" s="214" t="str">
        <f t="shared" si="1"/>
        <v>CN</v>
      </c>
      <c r="R5" s="214" t="str">
        <f t="shared" si="1"/>
        <v>T 2</v>
      </c>
      <c r="S5" s="214" t="str">
        <f t="shared" si="1"/>
        <v>T 3</v>
      </c>
      <c r="T5" s="214" t="str">
        <f t="shared" si="1"/>
        <v>T 4</v>
      </c>
      <c r="U5" s="214" t="str">
        <f t="shared" si="1"/>
        <v>T 5</v>
      </c>
      <c r="V5" s="214" t="str">
        <f t="shared" si="1"/>
        <v>T 6</v>
      </c>
      <c r="W5" s="214" t="str">
        <f t="shared" si="1"/>
        <v>T 7</v>
      </c>
      <c r="X5" s="214" t="str">
        <f t="shared" si="1"/>
        <v>CN</v>
      </c>
      <c r="Y5" s="214" t="str">
        <f t="shared" si="1"/>
        <v>T 2</v>
      </c>
      <c r="Z5" s="214" t="str">
        <f t="shared" si="1"/>
        <v>T 3</v>
      </c>
      <c r="AA5" s="214" t="str">
        <f t="shared" si="1"/>
        <v>T 4</v>
      </c>
      <c r="AB5" s="214" t="str">
        <f t="shared" si="1"/>
        <v>T 5</v>
      </c>
      <c r="AC5" s="214" t="str">
        <f t="shared" si="1"/>
        <v>T 6</v>
      </c>
      <c r="AD5" s="214" t="str">
        <f t="shared" si="1"/>
        <v>T 7</v>
      </c>
      <c r="AE5" s="214" t="str">
        <f t="shared" si="1"/>
        <v>CN</v>
      </c>
      <c r="AF5" s="214" t="str">
        <f t="shared" si="1"/>
        <v>T 2</v>
      </c>
      <c r="AG5" s="214" t="str">
        <f t="shared" si="1"/>
        <v>T 3</v>
      </c>
      <c r="AH5" s="214" t="str">
        <f t="shared" si="1"/>
        <v>T 4</v>
      </c>
      <c r="AI5" s="383"/>
      <c r="AJ5" s="383"/>
      <c r="AK5" s="383"/>
      <c r="AL5" s="383"/>
      <c r="AM5" s="407"/>
      <c r="AN5" s="407"/>
      <c r="AO5" s="407"/>
      <c r="AP5" s="407"/>
      <c r="AQ5" s="386"/>
      <c r="AR5" s="407"/>
      <c r="AS5" s="387"/>
      <c r="AT5" s="388"/>
      <c r="AU5" s="407"/>
      <c r="AV5" s="407"/>
      <c r="AW5" s="407"/>
      <c r="AX5" s="407"/>
      <c r="AY5" s="407"/>
      <c r="AZ5" s="407"/>
      <c r="BA5" s="404"/>
      <c r="BB5" s="404"/>
      <c r="BC5" s="404"/>
    </row>
    <row r="6" spans="1:55" ht="39.75" customHeight="1">
      <c r="A6" s="2">
        <v>1</v>
      </c>
      <c r="B6" s="148" t="s">
        <v>78</v>
      </c>
      <c r="C6" s="55" t="s">
        <v>89</v>
      </c>
      <c r="D6" s="260"/>
      <c r="E6" s="260"/>
      <c r="F6" s="355"/>
      <c r="G6" s="260"/>
      <c r="H6" s="260"/>
      <c r="I6" s="260">
        <v>5</v>
      </c>
      <c r="J6" s="260"/>
      <c r="K6" s="260"/>
      <c r="L6" s="260"/>
      <c r="M6" s="355"/>
      <c r="N6" s="260"/>
      <c r="O6" s="260"/>
      <c r="P6" s="260"/>
      <c r="Q6" s="260"/>
      <c r="R6" s="260"/>
      <c r="S6" s="260"/>
      <c r="T6" s="260"/>
      <c r="U6" s="260"/>
      <c r="V6" s="355"/>
      <c r="W6" s="260"/>
      <c r="X6" s="260"/>
      <c r="Y6" s="260"/>
      <c r="Z6" s="260"/>
      <c r="AA6" s="260"/>
      <c r="AB6" s="260"/>
      <c r="AC6" s="260"/>
      <c r="AD6" s="260"/>
      <c r="AE6" s="260"/>
      <c r="AF6" s="355"/>
      <c r="AG6" s="356"/>
      <c r="AH6" s="260"/>
      <c r="AI6" s="93">
        <f>SUM(D6:AH6)-AJ6-AK6-AL6</f>
        <v>5</v>
      </c>
      <c r="AJ6" s="93"/>
      <c r="AK6" s="93"/>
      <c r="AL6" s="93"/>
      <c r="AM6" s="3">
        <f>AI6+AJ6+AK6+AL6</f>
        <v>5</v>
      </c>
      <c r="AN6" s="10">
        <f>5860000/$AS$3/8*AI6*150%</f>
        <v>211298.07692307694</v>
      </c>
      <c r="AO6" s="10">
        <f>5860000/$AS$3/8*AJ6*200%</f>
        <v>0</v>
      </c>
      <c r="AP6" s="11">
        <f>5860000/$AS$3/8*AK6*300%</f>
        <v>0</v>
      </c>
      <c r="AQ6" s="11">
        <f>5860000/$AS$3/8*AL6*200%</f>
        <v>0</v>
      </c>
      <c r="AR6" s="101">
        <f>SUM(AN6:AQ6)</f>
        <v>211298.07692307694</v>
      </c>
      <c r="AS6" s="12"/>
      <c r="AT6" s="142"/>
      <c r="AU6" s="3">
        <v>53.5</v>
      </c>
      <c r="AV6" s="3">
        <v>40</v>
      </c>
      <c r="AW6" s="3">
        <f>AU6-AV6</f>
        <v>13.5</v>
      </c>
      <c r="AX6" s="228">
        <v>56</v>
      </c>
      <c r="AY6" s="228">
        <v>40</v>
      </c>
      <c r="AZ6" s="229">
        <f>AW6+AX6-AY6</f>
        <v>29.5</v>
      </c>
      <c r="BA6" s="235">
        <v>4</v>
      </c>
      <c r="BB6" s="237">
        <v>33.5</v>
      </c>
      <c r="BC6" s="237">
        <f>AZ6+BA6-BB6</f>
        <v>0</v>
      </c>
    </row>
    <row r="7" spans="1:55" ht="39.75" customHeight="1">
      <c r="A7" s="2">
        <v>2</v>
      </c>
      <c r="B7" s="243" t="s">
        <v>118</v>
      </c>
      <c r="C7" s="244" t="s">
        <v>111</v>
      </c>
      <c r="D7" s="355"/>
      <c r="E7" s="260"/>
      <c r="F7" s="260"/>
      <c r="G7" s="260"/>
      <c r="H7" s="260"/>
      <c r="I7" s="260"/>
      <c r="J7" s="260"/>
      <c r="K7" s="260"/>
      <c r="L7" s="260">
        <v>6</v>
      </c>
      <c r="M7" s="260"/>
      <c r="N7" s="260"/>
      <c r="O7" s="355"/>
      <c r="P7" s="260">
        <v>6</v>
      </c>
      <c r="Q7" s="260"/>
      <c r="R7" s="355"/>
      <c r="S7" s="260"/>
      <c r="T7" s="260"/>
      <c r="U7" s="260"/>
      <c r="V7" s="260"/>
      <c r="W7" s="260"/>
      <c r="X7" s="260"/>
      <c r="Y7" s="260"/>
      <c r="Z7" s="260"/>
      <c r="AA7" s="355"/>
      <c r="AB7" s="260"/>
      <c r="AC7" s="356"/>
      <c r="AD7" s="260"/>
      <c r="AE7" s="260"/>
      <c r="AF7" s="260"/>
      <c r="AG7" s="260"/>
      <c r="AH7" s="260"/>
      <c r="AI7" s="93">
        <f t="shared" ref="AI7" si="2">SUM(D7:AH7)-AJ7-AK7-AL7</f>
        <v>12</v>
      </c>
      <c r="AJ7" s="93"/>
      <c r="AK7" s="93"/>
      <c r="AL7" s="93"/>
      <c r="AM7" s="3">
        <f t="shared" ref="AM7" si="3">AI7+AJ7+AK7+AL7</f>
        <v>12</v>
      </c>
      <c r="AN7" s="10">
        <f t="shared" ref="AN7" si="4">5310000/$AS$3/8*AI7*150%</f>
        <v>459519.23076923075</v>
      </c>
      <c r="AO7" s="10">
        <f t="shared" ref="AO7" si="5">5310000/$AS$3/8*AJ7*200%</f>
        <v>0</v>
      </c>
      <c r="AP7" s="11">
        <f t="shared" ref="AP7" si="6">5310000/$AS$3/8*AK7*300%</f>
        <v>0</v>
      </c>
      <c r="AQ7" s="11">
        <f t="shared" ref="AQ7" si="7">5310000/$AS$3/8*AL7*200%</f>
        <v>0</v>
      </c>
      <c r="AR7" s="101">
        <f t="shared" ref="AR7" si="8">SUM(AN7:AQ7)</f>
        <v>459519.23076923075</v>
      </c>
      <c r="AS7" s="246"/>
      <c r="AT7" s="247"/>
      <c r="AU7" s="245"/>
      <c r="AV7" s="245"/>
      <c r="AW7" s="245"/>
      <c r="AX7" s="235"/>
      <c r="AY7" s="235"/>
      <c r="AZ7" s="248"/>
      <c r="BA7" s="235"/>
      <c r="BB7" s="237"/>
      <c r="BC7" s="237">
        <v>0</v>
      </c>
    </row>
    <row r="8" spans="1:55" s="4" customFormat="1" ht="39.75" customHeight="1">
      <c r="A8" s="2">
        <v>3</v>
      </c>
      <c r="B8" s="148" t="s">
        <v>107</v>
      </c>
      <c r="C8" s="55" t="s">
        <v>111</v>
      </c>
      <c r="D8" s="260"/>
      <c r="E8" s="260"/>
      <c r="F8" s="260"/>
      <c r="G8" s="355"/>
      <c r="H8" s="260"/>
      <c r="I8" s="260"/>
      <c r="J8" s="260">
        <v>5</v>
      </c>
      <c r="K8" s="260"/>
      <c r="L8" s="355"/>
      <c r="M8" s="355"/>
      <c r="N8" s="356"/>
      <c r="O8" s="260">
        <v>1</v>
      </c>
      <c r="P8" s="260"/>
      <c r="Q8" s="260"/>
      <c r="R8" s="260"/>
      <c r="S8" s="260"/>
      <c r="T8" s="260"/>
      <c r="U8" s="355"/>
      <c r="V8" s="260"/>
      <c r="W8" s="260"/>
      <c r="X8" s="260"/>
      <c r="Y8" s="260"/>
      <c r="Z8" s="260"/>
      <c r="AA8" s="260"/>
      <c r="AB8" s="260"/>
      <c r="AC8" s="260"/>
      <c r="AD8" s="260"/>
      <c r="AE8" s="260">
        <v>5</v>
      </c>
      <c r="AF8" s="260"/>
      <c r="AG8" s="260"/>
      <c r="AH8" s="260"/>
      <c r="AI8" s="93">
        <f t="shared" ref="AI8" si="9">SUM(D8:AH8)-AJ8-AK8-AL8</f>
        <v>11</v>
      </c>
      <c r="AJ8" s="93"/>
      <c r="AK8" s="93"/>
      <c r="AL8" s="93"/>
      <c r="AM8" s="3">
        <f t="shared" ref="AM8" si="10">AI8+AJ8+AK8+AL8</f>
        <v>11</v>
      </c>
      <c r="AN8" s="10">
        <f t="shared" ref="AN8:AN9" si="11">5310000/$AS$3/8*AI8*150%</f>
        <v>421225.9615384615</v>
      </c>
      <c r="AO8" s="10">
        <f t="shared" ref="AO8:AO9" si="12">5310000/$AS$3/8*AJ8*200%</f>
        <v>0</v>
      </c>
      <c r="AP8" s="11">
        <f t="shared" ref="AP8:AP9" si="13">5310000/$AS$3/8*AK8*300%</f>
        <v>0</v>
      </c>
      <c r="AQ8" s="11">
        <f t="shared" ref="AQ8:AQ9" si="14">5310000/$AS$3/8*AL8*200%</f>
        <v>0</v>
      </c>
      <c r="AR8" s="101">
        <f t="shared" ref="AR8" si="15">SUM(AN8:AQ8)</f>
        <v>421225.9615384615</v>
      </c>
      <c r="AS8" s="13"/>
      <c r="AT8" s="142"/>
      <c r="AU8" s="3">
        <v>30</v>
      </c>
      <c r="AV8" s="3">
        <v>30</v>
      </c>
      <c r="AW8" s="3">
        <f t="shared" ref="AW8" si="16">AU8-AV8</f>
        <v>0</v>
      </c>
      <c r="AX8" s="13">
        <v>51.5</v>
      </c>
      <c r="AY8" s="13">
        <v>40</v>
      </c>
      <c r="AZ8" s="229">
        <f t="shared" ref="AZ8" si="17">AW8+AX8-AY8</f>
        <v>11.5</v>
      </c>
      <c r="BA8" s="236">
        <v>17</v>
      </c>
      <c r="BB8" s="237">
        <v>28.5</v>
      </c>
      <c r="BC8" s="237">
        <f t="shared" ref="BC8" si="18">AZ8+BA8-BB8</f>
        <v>0</v>
      </c>
    </row>
    <row r="9" spans="1:55" s="288" customFormat="1" ht="39.75" customHeight="1">
      <c r="A9" s="2">
        <v>4</v>
      </c>
      <c r="B9" s="271" t="s">
        <v>121</v>
      </c>
      <c r="C9" s="281" t="s">
        <v>108</v>
      </c>
      <c r="D9" s="260"/>
      <c r="E9" s="355"/>
      <c r="F9" s="260"/>
      <c r="G9" s="260"/>
      <c r="H9" s="260"/>
      <c r="I9" s="260"/>
      <c r="J9" s="260"/>
      <c r="K9" s="260"/>
      <c r="L9" s="355"/>
      <c r="M9" s="260"/>
      <c r="N9" s="260"/>
      <c r="O9" s="260">
        <v>5</v>
      </c>
      <c r="P9" s="260"/>
      <c r="Q9" s="260">
        <v>5</v>
      </c>
      <c r="R9" s="260"/>
      <c r="S9" s="260"/>
      <c r="T9" s="355"/>
      <c r="U9" s="260"/>
      <c r="V9" s="260"/>
      <c r="W9" s="260"/>
      <c r="X9" s="260"/>
      <c r="Y9" s="355"/>
      <c r="Z9" s="356"/>
      <c r="AA9" s="260"/>
      <c r="AB9" s="260"/>
      <c r="AC9" s="260"/>
      <c r="AD9" s="260"/>
      <c r="AE9" s="260"/>
      <c r="AF9" s="260"/>
      <c r="AG9" s="260"/>
      <c r="AH9" s="282"/>
      <c r="AI9" s="283">
        <f t="shared" ref="AI9:AI11" si="19">SUM(D9:AH9)-AJ9-AK9-AL9</f>
        <v>10</v>
      </c>
      <c r="AJ9" s="283"/>
      <c r="AK9" s="283"/>
      <c r="AL9" s="283"/>
      <c r="AM9" s="284">
        <f t="shared" ref="AM9:AM11" si="20">AI9+AJ9+AK9+AL9</f>
        <v>10</v>
      </c>
      <c r="AN9" s="285">
        <f t="shared" si="11"/>
        <v>382932.69230769231</v>
      </c>
      <c r="AO9" s="285">
        <f t="shared" si="12"/>
        <v>0</v>
      </c>
      <c r="AP9" s="286">
        <f t="shared" si="13"/>
        <v>0</v>
      </c>
      <c r="AQ9" s="286">
        <f t="shared" si="14"/>
        <v>0</v>
      </c>
      <c r="AR9" s="287">
        <f t="shared" ref="AR9" si="21">SUM(AN9:AQ9)</f>
        <v>382932.69230769231</v>
      </c>
      <c r="AT9" s="247"/>
      <c r="AU9" s="284"/>
      <c r="AV9" s="284"/>
      <c r="AW9" s="284"/>
      <c r="AZ9" s="289"/>
      <c r="BB9" s="290"/>
      <c r="BC9" s="290"/>
    </row>
    <row r="10" spans="1:55" s="288" customFormat="1" ht="39.75" customHeight="1">
      <c r="A10" s="2">
        <v>5</v>
      </c>
      <c r="B10" s="271" t="s">
        <v>123</v>
      </c>
      <c r="C10" s="281" t="s">
        <v>108</v>
      </c>
      <c r="D10" s="260"/>
      <c r="E10" s="260"/>
      <c r="F10" s="260"/>
      <c r="G10" s="260"/>
      <c r="H10" s="260"/>
      <c r="I10" s="260"/>
      <c r="J10" s="260"/>
      <c r="K10" s="355"/>
      <c r="L10" s="260"/>
      <c r="M10" s="260">
        <v>5</v>
      </c>
      <c r="N10" s="260"/>
      <c r="O10" s="260"/>
      <c r="P10" s="260"/>
      <c r="Q10" s="260"/>
      <c r="R10" s="260"/>
      <c r="S10" s="355"/>
      <c r="T10" s="260"/>
      <c r="U10" s="260"/>
      <c r="V10" s="260"/>
      <c r="W10" s="260"/>
      <c r="X10" s="260"/>
      <c r="Y10" s="355"/>
      <c r="Z10" s="260"/>
      <c r="AA10" s="260"/>
      <c r="AB10" s="260"/>
      <c r="AC10" s="260"/>
      <c r="AD10" s="260"/>
      <c r="AE10" s="356"/>
      <c r="AF10" s="355"/>
      <c r="AG10" s="260"/>
      <c r="AH10" s="282"/>
      <c r="AI10" s="283">
        <f t="shared" si="19"/>
        <v>5</v>
      </c>
      <c r="AJ10" s="283"/>
      <c r="AK10" s="283"/>
      <c r="AL10" s="283"/>
      <c r="AM10" s="284">
        <f t="shared" si="20"/>
        <v>5</v>
      </c>
      <c r="AN10" s="285">
        <f t="shared" ref="AN10" si="22">5310000/$AS$3/8*AI10*150%</f>
        <v>191466.34615384616</v>
      </c>
      <c r="AO10" s="285">
        <f t="shared" ref="AO10" si="23">5310000/$AS$3/8*AJ10*200%</f>
        <v>0</v>
      </c>
      <c r="AP10" s="286">
        <f t="shared" ref="AP10" si="24">5310000/$AS$3/8*AK10*300%</f>
        <v>0</v>
      </c>
      <c r="AQ10" s="286">
        <f t="shared" ref="AQ10" si="25">5310000/$AS$3/8*AL10*200%</f>
        <v>0</v>
      </c>
      <c r="AR10" s="287">
        <f t="shared" ref="AR10" si="26">SUM(AN10:AQ10)</f>
        <v>191466.34615384616</v>
      </c>
      <c r="AT10" s="247"/>
      <c r="AU10" s="284"/>
      <c r="AV10" s="284"/>
      <c r="AW10" s="284"/>
      <c r="AZ10" s="289"/>
      <c r="BB10" s="290"/>
      <c r="BC10" s="290"/>
    </row>
    <row r="11" spans="1:55" s="315" customFormat="1" ht="39.75" customHeight="1">
      <c r="A11" s="303">
        <v>6</v>
      </c>
      <c r="B11" s="293" t="s">
        <v>135</v>
      </c>
      <c r="C11" s="304" t="s">
        <v>108</v>
      </c>
      <c r="D11" s="397" t="s">
        <v>302</v>
      </c>
      <c r="E11" s="398"/>
      <c r="F11" s="398"/>
      <c r="G11" s="398"/>
      <c r="H11" s="398"/>
      <c r="I11" s="398"/>
      <c r="J11" s="398"/>
      <c r="K11" s="398"/>
      <c r="L11" s="398"/>
      <c r="M11" s="398"/>
      <c r="N11" s="398"/>
      <c r="O11" s="398"/>
      <c r="P11" s="398"/>
      <c r="Q11" s="399"/>
      <c r="R11" s="260"/>
      <c r="S11" s="260"/>
      <c r="T11" s="260"/>
      <c r="U11" s="260"/>
      <c r="V11" s="260"/>
      <c r="W11" s="260"/>
      <c r="X11" s="260"/>
      <c r="Y11" s="260"/>
      <c r="Z11" s="355"/>
      <c r="AA11" s="355"/>
      <c r="AB11" s="260"/>
      <c r="AC11" s="260"/>
      <c r="AD11" s="260"/>
      <c r="AE11" s="260"/>
      <c r="AF11" s="260"/>
      <c r="AG11" s="260"/>
      <c r="AH11" s="305"/>
      <c r="AI11" s="306">
        <f t="shared" si="19"/>
        <v>0</v>
      </c>
      <c r="AJ11" s="306"/>
      <c r="AK11" s="306"/>
      <c r="AL11" s="306"/>
      <c r="AM11" s="307">
        <f t="shared" si="20"/>
        <v>0</v>
      </c>
      <c r="AN11" s="308">
        <f t="shared" ref="AN11" si="27">5310000/$AS$3/8*AI11*150%</f>
        <v>0</v>
      </c>
      <c r="AO11" s="308">
        <f t="shared" ref="AO11" si="28">5310000/$AS$3/8*AJ11*200%</f>
        <v>0</v>
      </c>
      <c r="AP11" s="309">
        <f t="shared" ref="AP11" si="29">5310000/$AS$3/8*AK11*300%</f>
        <v>0</v>
      </c>
      <c r="AQ11" s="309">
        <f t="shared" ref="AQ11" si="30">5310000/$AS$3/8*AL11*200%</f>
        <v>0</v>
      </c>
      <c r="AR11" s="310">
        <f t="shared" ref="AR11" si="31">SUM(AN11:AQ11)</f>
        <v>0</v>
      </c>
      <c r="AS11" s="311"/>
      <c r="AT11" s="312"/>
      <c r="AU11" s="313"/>
      <c r="AV11" s="313"/>
      <c r="AW11" s="314"/>
      <c r="AZ11" s="316"/>
      <c r="BB11" s="317"/>
      <c r="BC11" s="317"/>
    </row>
    <row r="12" spans="1:55" s="4" customFormat="1">
      <c r="A12" s="7"/>
      <c r="B12" s="115"/>
      <c r="C12" s="116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W12" s="227"/>
    </row>
    <row r="13" spans="1:55" s="4" customFormat="1">
      <c r="A13" s="7"/>
      <c r="C13" s="116"/>
      <c r="D13" s="408"/>
      <c r="E13" s="408"/>
      <c r="F13" s="408"/>
      <c r="G13" s="408"/>
      <c r="H13" s="408"/>
      <c r="I13" s="408"/>
      <c r="J13" s="408"/>
      <c r="K13" s="408"/>
      <c r="L13" s="5"/>
      <c r="M13" s="5"/>
      <c r="N13" s="5"/>
      <c r="O13" s="5"/>
      <c r="P13" s="5"/>
      <c r="Q13" s="5"/>
      <c r="R13" s="5"/>
      <c r="S13" s="5"/>
      <c r="T13" s="5"/>
      <c r="U13" s="408"/>
      <c r="V13" s="408"/>
      <c r="W13" s="408"/>
      <c r="X13" s="408"/>
      <c r="Y13" s="408"/>
      <c r="Z13" s="408"/>
      <c r="AA13" s="408"/>
      <c r="AB13" s="408"/>
      <c r="AC13" s="408"/>
      <c r="AD13" s="408"/>
      <c r="AE13" s="408"/>
      <c r="AF13" s="408"/>
      <c r="AG13" s="408"/>
      <c r="AH13" s="408"/>
      <c r="AI13" s="408"/>
      <c r="AJ13" s="53"/>
      <c r="AK13" s="6"/>
      <c r="AL13" s="6"/>
      <c r="AM13" s="6"/>
      <c r="AN13" s="6"/>
      <c r="AO13" s="6"/>
      <c r="AP13" s="6"/>
      <c r="AQ13" s="6"/>
      <c r="AR13" s="408"/>
      <c r="AS13" s="408"/>
      <c r="AT13" s="408"/>
      <c r="AU13" s="151"/>
    </row>
    <row r="14" spans="1:55" s="4" customFormat="1">
      <c r="A14" s="7"/>
      <c r="C14" s="116"/>
      <c r="D14" s="114"/>
      <c r="E14" s="114"/>
      <c r="F14" s="114"/>
      <c r="G14" s="114"/>
      <c r="H14" s="114"/>
      <c r="I14" s="114"/>
      <c r="J14" s="114"/>
      <c r="K14" s="114"/>
      <c r="L14" s="5"/>
      <c r="M14" s="5"/>
      <c r="N14" s="5"/>
      <c r="O14" s="5"/>
      <c r="P14" s="5"/>
      <c r="Q14" s="5"/>
      <c r="R14" s="5"/>
      <c r="S14" s="5"/>
      <c r="T14" s="5"/>
      <c r="U14" s="114"/>
      <c r="V14" s="114"/>
      <c r="W14" s="114"/>
      <c r="X14" s="114"/>
      <c r="Y14" s="114"/>
      <c r="Z14" s="114"/>
      <c r="AA14" s="114"/>
      <c r="AB14" s="114"/>
      <c r="AC14" s="114"/>
      <c r="AD14" s="114"/>
      <c r="AE14" s="114"/>
      <c r="AF14" s="114"/>
      <c r="AG14" s="114"/>
      <c r="AH14" s="114"/>
      <c r="AI14" s="114"/>
      <c r="AJ14" s="114"/>
      <c r="AK14" s="6"/>
      <c r="AL14" s="6"/>
      <c r="AM14" s="6"/>
      <c r="AN14" s="6"/>
      <c r="AO14" s="6"/>
      <c r="AP14" s="6"/>
      <c r="AQ14" s="6"/>
      <c r="AR14" s="114"/>
      <c r="AS14" s="114"/>
      <c r="AT14" s="114"/>
      <c r="AU14" s="151"/>
    </row>
    <row r="15" spans="1:55" s="4" customFormat="1">
      <c r="A15" s="7"/>
      <c r="D15" s="114"/>
      <c r="E15" s="114"/>
      <c r="F15" s="114"/>
      <c r="G15" s="114"/>
      <c r="H15" s="114"/>
      <c r="I15" s="114"/>
      <c r="J15" s="114"/>
      <c r="K15" s="114"/>
      <c r="L15" s="5"/>
      <c r="M15" s="5"/>
      <c r="N15" s="5"/>
      <c r="O15" s="5"/>
      <c r="P15" s="5"/>
      <c r="Q15" s="5"/>
      <c r="R15" s="5"/>
      <c r="S15" s="5"/>
      <c r="T15" s="5"/>
      <c r="U15" s="114"/>
      <c r="V15" s="114"/>
      <c r="W15" s="114"/>
      <c r="X15" s="114"/>
      <c r="Y15" s="114"/>
      <c r="Z15" s="114"/>
      <c r="AA15" s="114"/>
      <c r="AB15" s="114"/>
      <c r="AC15" s="114"/>
      <c r="AD15" s="114"/>
      <c r="AE15" s="114"/>
      <c r="AF15" s="114"/>
      <c r="AG15" s="114"/>
      <c r="AH15" s="114"/>
      <c r="AI15" s="114"/>
      <c r="AJ15" s="114"/>
      <c r="AK15" s="6"/>
      <c r="AL15" s="6"/>
      <c r="AM15" s="6"/>
      <c r="AN15" s="6"/>
      <c r="AO15" s="6"/>
      <c r="AP15" s="6"/>
      <c r="AQ15" s="6"/>
      <c r="AR15" s="114"/>
      <c r="AS15" s="114"/>
      <c r="AT15" s="114"/>
      <c r="AU15" s="151"/>
    </row>
    <row r="16" spans="1:55" s="103" customFormat="1" ht="14.25">
      <c r="A16" s="102"/>
      <c r="C16" s="375" t="s">
        <v>13</v>
      </c>
      <c r="D16" s="375"/>
      <c r="E16" s="375"/>
      <c r="F16" s="375"/>
      <c r="G16" s="104"/>
      <c r="H16" s="104"/>
      <c r="I16" s="104"/>
      <c r="J16" s="376" t="s">
        <v>6</v>
      </c>
      <c r="K16" s="376"/>
      <c r="L16" s="376"/>
      <c r="M16" s="376"/>
      <c r="N16" s="376"/>
      <c r="O16" s="376"/>
      <c r="P16" s="376"/>
      <c r="Q16" s="376"/>
      <c r="R16" s="376"/>
      <c r="S16" s="376"/>
      <c r="T16" s="104"/>
      <c r="U16" s="104"/>
      <c r="V16" s="104"/>
      <c r="W16" s="376" t="s">
        <v>14</v>
      </c>
      <c r="X16" s="376"/>
      <c r="Y16" s="376"/>
      <c r="Z16" s="376"/>
      <c r="AA16" s="376"/>
      <c r="AB16" s="376"/>
      <c r="AC16" s="376"/>
      <c r="AD16" s="376"/>
      <c r="AE16" s="376"/>
      <c r="AF16" s="376"/>
      <c r="AG16" s="376"/>
      <c r="AH16" s="376"/>
      <c r="AI16" s="376"/>
      <c r="AJ16" s="105"/>
      <c r="AK16" s="104"/>
      <c r="AL16" s="104"/>
      <c r="AM16" s="104"/>
      <c r="AN16" s="375" t="s">
        <v>15</v>
      </c>
      <c r="AO16" s="375"/>
      <c r="AP16" s="375"/>
      <c r="AQ16" s="375"/>
      <c r="AR16" s="375"/>
      <c r="AS16" s="106"/>
    </row>
    <row r="17" spans="1:44" s="4" customFormat="1">
      <c r="A17" s="7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</row>
    <row r="18" spans="1:44" s="4" customFormat="1">
      <c r="A18" s="7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</row>
    <row r="19" spans="1:44" s="4" customFormat="1">
      <c r="A19" s="7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</row>
    <row r="20" spans="1:44" s="4" customFormat="1">
      <c r="A20" s="7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</row>
    <row r="21" spans="1:44" s="4" customFormat="1">
      <c r="A21" s="7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</row>
    <row r="22" spans="1:44" s="4" customFormat="1">
      <c r="A22" s="7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</row>
    <row r="23" spans="1:44" s="112" customFormat="1">
      <c r="A23" s="111"/>
      <c r="C23" s="377" t="s">
        <v>82</v>
      </c>
      <c r="D23" s="377"/>
      <c r="E23" s="377"/>
      <c r="F23" s="377"/>
      <c r="G23" s="113"/>
      <c r="H23" s="113"/>
      <c r="I23" s="113"/>
      <c r="J23" s="113"/>
      <c r="K23" s="374" t="s">
        <v>120</v>
      </c>
      <c r="L23" s="374"/>
      <c r="M23" s="374"/>
      <c r="N23" s="374"/>
      <c r="O23" s="374"/>
      <c r="P23" s="374"/>
      <c r="Q23" s="374"/>
      <c r="R23" s="113"/>
      <c r="S23" s="113"/>
      <c r="T23" s="113"/>
      <c r="U23" s="113"/>
      <c r="V23" s="113"/>
      <c r="W23" s="113"/>
      <c r="X23" s="113"/>
      <c r="Y23" s="374" t="s">
        <v>90</v>
      </c>
      <c r="Z23" s="374"/>
      <c r="AA23" s="374"/>
      <c r="AB23" s="374"/>
      <c r="AC23" s="374"/>
      <c r="AD23" s="374"/>
      <c r="AE23" s="374"/>
      <c r="AF23" s="374"/>
      <c r="AG23" s="113"/>
      <c r="AH23" s="113"/>
      <c r="AI23" s="113"/>
      <c r="AJ23" s="113"/>
      <c r="AK23" s="113"/>
      <c r="AL23" s="113"/>
      <c r="AM23" s="113"/>
      <c r="AO23" s="377" t="s">
        <v>78</v>
      </c>
      <c r="AP23" s="377"/>
      <c r="AQ23" s="377"/>
    </row>
    <row r="24" spans="1:44" s="4" customFormat="1">
      <c r="A24" s="7"/>
      <c r="C24" s="411"/>
      <c r="D24" s="411"/>
      <c r="E24" s="411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6"/>
      <c r="AA24" s="408"/>
      <c r="AB24" s="408"/>
      <c r="AC24" s="408"/>
      <c r="AD24" s="408"/>
      <c r="AE24" s="408"/>
      <c r="AF24" s="25"/>
      <c r="AG24" s="6"/>
      <c r="AH24" s="6"/>
      <c r="AI24" s="5"/>
      <c r="AJ24" s="5"/>
      <c r="AK24" s="5"/>
      <c r="AL24" s="5"/>
      <c r="AM24" s="5"/>
      <c r="AN24" s="411"/>
      <c r="AO24" s="411"/>
      <c r="AP24" s="411"/>
      <c r="AQ24" s="411"/>
      <c r="AR24" s="411"/>
    </row>
    <row r="25" spans="1:44" s="4" customFormat="1">
      <c r="A25" s="7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</row>
    <row r="26" spans="1:44" s="4" customFormat="1">
      <c r="A26" s="7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</row>
    <row r="27" spans="1:44" s="4" customFormat="1">
      <c r="A27" s="7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</row>
    <row r="28" spans="1:44" s="4" customFormat="1">
      <c r="A28" s="7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</row>
    <row r="29" spans="1:44" s="4" customFormat="1">
      <c r="A29" s="7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</row>
    <row r="30" spans="1:44" s="4" customFormat="1">
      <c r="A30" s="7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</row>
    <row r="31" spans="1:44" s="4" customFormat="1">
      <c r="A31" s="7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</row>
    <row r="32" spans="1:44" s="4" customFormat="1">
      <c r="A32" s="7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</row>
    <row r="33" spans="1:39" s="4" customFormat="1">
      <c r="A33" s="7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</row>
    <row r="34" spans="1:39" s="4" customFormat="1">
      <c r="A34" s="7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</row>
    <row r="35" spans="1:39" s="4" customFormat="1">
      <c r="A35" s="7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</row>
    <row r="36" spans="1:39" s="4" customFormat="1">
      <c r="A36" s="7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</row>
    <row r="37" spans="1:39" s="4" customFormat="1">
      <c r="A37" s="7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</row>
    <row r="38" spans="1:39" s="4" customFormat="1">
      <c r="A38" s="7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</row>
    <row r="39" spans="1:39" s="4" customFormat="1">
      <c r="A39" s="7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</row>
    <row r="40" spans="1:39" s="4" customFormat="1">
      <c r="A40" s="7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</row>
    <row r="41" spans="1:39" s="4" customFormat="1">
      <c r="A41" s="7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</row>
    <row r="42" spans="1:39" s="4" customFormat="1">
      <c r="A42" s="7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</row>
    <row r="43" spans="1:39" s="4" customFormat="1">
      <c r="A43" s="7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</row>
    <row r="44" spans="1:39" s="4" customFormat="1">
      <c r="A44" s="7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</row>
    <row r="45" spans="1:39" s="4" customFormat="1">
      <c r="A45" s="7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</row>
    <row r="46" spans="1:39" s="4" customFormat="1">
      <c r="A46" s="7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</row>
    <row r="47" spans="1:39" s="4" customFormat="1">
      <c r="A47" s="7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</row>
    <row r="48" spans="1:39" s="4" customFormat="1">
      <c r="A48" s="7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</row>
    <row r="49" spans="1:39" s="4" customFormat="1">
      <c r="A49" s="7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</row>
    <row r="50" spans="1:39" s="4" customFormat="1">
      <c r="A50" s="7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</row>
    <row r="51" spans="1:39" s="4" customFormat="1">
      <c r="A51" s="7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</row>
    <row r="52" spans="1:39" s="4" customFormat="1">
      <c r="A52" s="7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</row>
    <row r="53" spans="1:39" s="4" customFormat="1">
      <c r="A53" s="7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</row>
    <row r="54" spans="1:39" s="4" customFormat="1">
      <c r="A54" s="7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</row>
    <row r="55" spans="1:39" s="4" customFormat="1">
      <c r="A55" s="7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</row>
    <row r="56" spans="1:39" s="4" customFormat="1">
      <c r="A56" s="7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</row>
    <row r="57" spans="1:39" s="4" customFormat="1">
      <c r="A57" s="7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</row>
    <row r="58" spans="1:39" s="4" customFormat="1">
      <c r="A58" s="7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</row>
    <row r="59" spans="1:39" s="4" customFormat="1">
      <c r="A59" s="7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</row>
    <row r="60" spans="1:39" s="4" customFormat="1">
      <c r="A60" s="7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</row>
    <row r="61" spans="1:39" s="4" customFormat="1">
      <c r="A61" s="7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</row>
    <row r="62" spans="1:39" s="4" customFormat="1">
      <c r="A62" s="7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</row>
    <row r="63" spans="1:39" s="4" customFormat="1">
      <c r="A63" s="7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</row>
    <row r="64" spans="1:39" s="4" customFormat="1">
      <c r="A64" s="7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</row>
    <row r="65" spans="1:39" s="4" customFormat="1">
      <c r="A65" s="7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</row>
    <row r="66" spans="1:39" s="4" customFormat="1">
      <c r="A66" s="7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</row>
    <row r="67" spans="1:39" s="4" customFormat="1">
      <c r="A67" s="7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</row>
    <row r="68" spans="1:39" s="4" customFormat="1">
      <c r="A68" s="7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</row>
    <row r="69" spans="1:39" s="4" customFormat="1">
      <c r="A69" s="7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</row>
    <row r="70" spans="1:39" s="4" customFormat="1">
      <c r="A70" s="7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</row>
    <row r="71" spans="1:39" s="4" customFormat="1">
      <c r="A71" s="7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</row>
    <row r="72" spans="1:39" s="4" customFormat="1">
      <c r="A72" s="7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</row>
    <row r="73" spans="1:39" s="4" customFormat="1">
      <c r="A73" s="7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</row>
    <row r="74" spans="1:39" s="4" customFormat="1">
      <c r="A74" s="7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</row>
    <row r="75" spans="1:39" s="4" customFormat="1">
      <c r="A75" s="7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</row>
    <row r="76" spans="1:39" s="4" customFormat="1">
      <c r="A76" s="7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</row>
    <row r="77" spans="1:39" s="4" customFormat="1">
      <c r="A77" s="7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</row>
    <row r="78" spans="1:39" s="4" customFormat="1">
      <c r="A78" s="7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</row>
    <row r="79" spans="1:39" s="4" customFormat="1">
      <c r="A79" s="7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</row>
    <row r="80" spans="1:39" s="4" customFormat="1">
      <c r="A80" s="7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</row>
    <row r="81" spans="1:39" s="4" customFormat="1">
      <c r="A81" s="7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</row>
    <row r="82" spans="1:39" s="4" customFormat="1">
      <c r="A82" s="7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</row>
    <row r="83" spans="1:39" s="4" customFormat="1">
      <c r="A83" s="7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</row>
    <row r="84" spans="1:39" s="4" customFormat="1">
      <c r="A84" s="7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</row>
    <row r="85" spans="1:39" s="4" customFormat="1">
      <c r="A85" s="7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</row>
    <row r="86" spans="1:39" s="4" customFormat="1">
      <c r="A86" s="7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</row>
    <row r="87" spans="1:39" s="4" customFormat="1">
      <c r="A87" s="7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</row>
    <row r="88" spans="1:39" s="4" customFormat="1">
      <c r="A88" s="7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</row>
    <row r="89" spans="1:39" s="4" customFormat="1">
      <c r="A89" s="7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</row>
    <row r="90" spans="1:39" s="4" customFormat="1">
      <c r="A90" s="7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</row>
    <row r="91" spans="1:39" s="4" customFormat="1">
      <c r="A91" s="7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</row>
    <row r="92" spans="1:39" s="4" customFormat="1">
      <c r="A92" s="7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</row>
    <row r="93" spans="1:39" s="4" customFormat="1">
      <c r="A93" s="7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</row>
    <row r="94" spans="1:39" s="4" customFormat="1">
      <c r="A94" s="7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</row>
    <row r="95" spans="1:39" s="4" customFormat="1">
      <c r="A95" s="7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</row>
    <row r="96" spans="1:39" s="4" customFormat="1">
      <c r="A96" s="7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</row>
    <row r="97" spans="1:39" s="4" customFormat="1">
      <c r="A97" s="7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</row>
    <row r="98" spans="1:39" s="4" customFormat="1">
      <c r="A98" s="7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</row>
    <row r="99" spans="1:39" s="4" customFormat="1">
      <c r="A99" s="7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</row>
    <row r="100" spans="1:39" s="4" customFormat="1">
      <c r="A100" s="7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</row>
    <row r="101" spans="1:39" s="4" customFormat="1">
      <c r="A101" s="7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</row>
    <row r="102" spans="1:39" s="4" customFormat="1">
      <c r="A102" s="7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</row>
    <row r="103" spans="1:39" s="4" customFormat="1">
      <c r="A103" s="7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</row>
    <row r="104" spans="1:39" s="4" customFormat="1">
      <c r="A104" s="7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</row>
    <row r="105" spans="1:39" s="4" customFormat="1">
      <c r="A105" s="7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</row>
    <row r="106" spans="1:39" s="4" customFormat="1">
      <c r="A106" s="7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</row>
    <row r="107" spans="1:39" s="4" customFormat="1">
      <c r="A107" s="7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</row>
    <row r="108" spans="1:39" s="4" customFormat="1">
      <c r="A108" s="7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</row>
    <row r="109" spans="1:39" s="4" customFormat="1">
      <c r="A109" s="7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</row>
    <row r="110" spans="1:39" s="4" customFormat="1">
      <c r="A110" s="7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</row>
    <row r="111" spans="1:39" s="4" customFormat="1">
      <c r="A111" s="7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</row>
    <row r="112" spans="1:39" s="4" customFormat="1">
      <c r="A112" s="7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</row>
    <row r="113" spans="1:39" s="4" customFormat="1">
      <c r="A113" s="7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</row>
    <row r="114" spans="1:39" s="4" customFormat="1">
      <c r="A114" s="7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</row>
    <row r="115" spans="1:39" s="4" customFormat="1">
      <c r="A115" s="7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</row>
    <row r="116" spans="1:39" s="4" customFormat="1">
      <c r="A116" s="7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</row>
    <row r="117" spans="1:39" s="4" customFormat="1">
      <c r="A117" s="7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</row>
    <row r="118" spans="1:39" s="4" customFormat="1">
      <c r="A118" s="7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</row>
    <row r="119" spans="1:39" s="4" customFormat="1">
      <c r="A119" s="7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</row>
    <row r="120" spans="1:39" s="4" customFormat="1">
      <c r="A120" s="7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</row>
    <row r="121" spans="1:39" s="4" customFormat="1">
      <c r="A121" s="7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</row>
    <row r="122" spans="1:39" s="4" customFormat="1">
      <c r="A122" s="7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</row>
    <row r="123" spans="1:39" s="4" customFormat="1">
      <c r="A123" s="7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</row>
    <row r="124" spans="1:39" s="4" customFormat="1">
      <c r="A124" s="7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</row>
    <row r="125" spans="1:39" s="4" customFormat="1">
      <c r="A125" s="7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</row>
    <row r="126" spans="1:39" s="4" customFormat="1">
      <c r="A126" s="7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</row>
    <row r="127" spans="1:39" s="4" customFormat="1">
      <c r="A127" s="7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</row>
    <row r="128" spans="1:39" s="4" customFormat="1">
      <c r="A128" s="7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</row>
    <row r="129" spans="1:39" s="4" customFormat="1">
      <c r="A129" s="7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</row>
    <row r="130" spans="1:39" s="4" customFormat="1">
      <c r="A130" s="7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</row>
    <row r="131" spans="1:39" s="4" customFormat="1">
      <c r="A131" s="7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</row>
    <row r="132" spans="1:39" s="4" customFormat="1">
      <c r="A132" s="7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</row>
    <row r="133" spans="1:39" s="4" customFormat="1">
      <c r="A133" s="7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</row>
    <row r="134" spans="1:39" s="4" customFormat="1">
      <c r="A134" s="7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</row>
    <row r="135" spans="1:39" s="4" customFormat="1">
      <c r="A135" s="7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</row>
    <row r="136" spans="1:39" s="4" customFormat="1">
      <c r="A136" s="7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</row>
    <row r="137" spans="1:39" s="4" customFormat="1">
      <c r="A137" s="7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</row>
    <row r="138" spans="1:39" s="4" customFormat="1">
      <c r="A138" s="7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</row>
    <row r="139" spans="1:39" s="4" customFormat="1">
      <c r="A139" s="7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</row>
    <row r="140" spans="1:39" s="4" customFormat="1">
      <c r="A140" s="7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</row>
    <row r="141" spans="1:39" s="4" customFormat="1">
      <c r="A141" s="7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</row>
    <row r="142" spans="1:39" s="4" customFormat="1">
      <c r="A142" s="7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</row>
    <row r="143" spans="1:39" s="4" customFormat="1">
      <c r="A143" s="7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</row>
    <row r="144" spans="1:39" s="4" customFormat="1">
      <c r="A144" s="7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</row>
    <row r="145" spans="1:39" s="4" customFormat="1">
      <c r="A145" s="7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</row>
    <row r="146" spans="1:39" s="4" customFormat="1">
      <c r="A146" s="7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</row>
    <row r="147" spans="1:39" s="4" customFormat="1">
      <c r="A147" s="7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</row>
    <row r="148" spans="1:39" s="4" customFormat="1">
      <c r="A148" s="7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</row>
    <row r="149" spans="1:39" s="4" customFormat="1">
      <c r="A149" s="7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</row>
    <row r="150" spans="1:39" s="4" customFormat="1">
      <c r="A150" s="7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</row>
    <row r="151" spans="1:39" s="4" customFormat="1">
      <c r="A151" s="7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</row>
    <row r="152" spans="1:39" s="4" customFormat="1">
      <c r="A152" s="7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</row>
    <row r="153" spans="1:39" s="4" customFormat="1">
      <c r="A153" s="7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</row>
    <row r="154" spans="1:39" s="4" customFormat="1">
      <c r="A154" s="7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</row>
    <row r="155" spans="1:39" s="4" customFormat="1">
      <c r="A155" s="7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</row>
    <row r="156" spans="1:39" s="4" customFormat="1">
      <c r="A156" s="7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</row>
    <row r="157" spans="1:39" s="4" customFormat="1">
      <c r="A157" s="7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</row>
    <row r="158" spans="1:39" s="4" customFormat="1">
      <c r="A158" s="7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</row>
    <row r="159" spans="1:39" s="4" customFormat="1">
      <c r="A159" s="7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</row>
    <row r="160" spans="1:39" s="4" customFormat="1">
      <c r="A160" s="7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</row>
    <row r="161" spans="1:39" s="4" customFormat="1">
      <c r="A161" s="7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</row>
    <row r="162" spans="1:39" s="4" customFormat="1">
      <c r="A162" s="7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</row>
    <row r="163" spans="1:39" s="4" customFormat="1">
      <c r="A163" s="7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</row>
    <row r="164" spans="1:39" s="4" customFormat="1">
      <c r="A164" s="7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</row>
    <row r="165" spans="1:39" s="4" customFormat="1">
      <c r="A165" s="7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</row>
    <row r="166" spans="1:39" s="4" customFormat="1">
      <c r="A166" s="7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</row>
    <row r="167" spans="1:39" s="4" customFormat="1">
      <c r="A167" s="7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</row>
    <row r="168" spans="1:39" s="4" customFormat="1">
      <c r="A168" s="7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</row>
    <row r="169" spans="1:39" s="4" customFormat="1">
      <c r="A169" s="7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</row>
    <row r="170" spans="1:39" s="4" customFormat="1">
      <c r="A170" s="7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</row>
    <row r="171" spans="1:39" s="4" customFormat="1">
      <c r="A171" s="7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</row>
    <row r="172" spans="1:39" s="4" customFormat="1">
      <c r="A172" s="7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</row>
    <row r="173" spans="1:39" s="4" customFormat="1">
      <c r="A173" s="7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</row>
    <row r="174" spans="1:39" s="4" customFormat="1">
      <c r="A174" s="7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</row>
    <row r="175" spans="1:39" s="4" customFormat="1">
      <c r="A175" s="7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</row>
    <row r="176" spans="1:39" s="4" customFormat="1">
      <c r="A176" s="7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</row>
    <row r="177" spans="1:39" s="4" customFormat="1">
      <c r="A177" s="7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</row>
    <row r="178" spans="1:39" s="4" customFormat="1">
      <c r="A178" s="7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</row>
    <row r="179" spans="1:39" s="4" customFormat="1">
      <c r="A179" s="7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</row>
    <row r="180" spans="1:39" s="4" customFormat="1">
      <c r="A180" s="7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</row>
    <row r="181" spans="1:39" s="4" customFormat="1">
      <c r="A181" s="7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</row>
    <row r="182" spans="1:39" s="4" customFormat="1">
      <c r="A182" s="7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</row>
    <row r="183" spans="1:39" s="4" customFormat="1">
      <c r="A183" s="7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</row>
    <row r="184" spans="1:39" s="4" customFormat="1">
      <c r="A184" s="7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</row>
    <row r="185" spans="1:39" s="4" customFormat="1">
      <c r="A185" s="7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</row>
    <row r="186" spans="1:39" s="4" customFormat="1">
      <c r="A186" s="7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</row>
    <row r="187" spans="1:39" s="4" customFormat="1">
      <c r="A187" s="7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</row>
    <row r="188" spans="1:39" s="4" customFormat="1">
      <c r="A188" s="7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</row>
    <row r="189" spans="1:39" s="4" customFormat="1">
      <c r="A189" s="7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</row>
    <row r="190" spans="1:39" s="4" customFormat="1">
      <c r="A190" s="7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</row>
    <row r="191" spans="1:39" s="4" customFormat="1">
      <c r="A191" s="7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</row>
    <row r="192" spans="1:39" s="4" customFormat="1">
      <c r="A192" s="7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</row>
    <row r="193" spans="1:39" s="4" customFormat="1">
      <c r="A193" s="7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</row>
    <row r="194" spans="1:39" s="4" customFormat="1">
      <c r="A194" s="7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</row>
    <row r="195" spans="1:39" s="4" customFormat="1">
      <c r="A195" s="7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</row>
    <row r="196" spans="1:39" s="4" customFormat="1">
      <c r="A196" s="7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</row>
    <row r="197" spans="1:39" s="4" customFormat="1">
      <c r="A197" s="7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</row>
    <row r="198" spans="1:39" s="4" customFormat="1">
      <c r="A198" s="7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</row>
    <row r="199" spans="1:39" s="4" customFormat="1">
      <c r="A199" s="7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</row>
    <row r="200" spans="1:39" s="4" customFormat="1">
      <c r="A200" s="7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</row>
    <row r="201" spans="1:39" s="4" customFormat="1">
      <c r="A201" s="7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</row>
    <row r="202" spans="1:39" s="4" customFormat="1">
      <c r="A202" s="7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</row>
    <row r="203" spans="1:39" s="4" customFormat="1">
      <c r="A203" s="7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</row>
    <row r="204" spans="1:39" s="4" customFormat="1">
      <c r="A204" s="7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</row>
    <row r="205" spans="1:39" s="4" customFormat="1">
      <c r="A205" s="7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</row>
    <row r="206" spans="1:39" s="4" customFormat="1">
      <c r="A206" s="7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</row>
    <row r="207" spans="1:39" s="4" customFormat="1">
      <c r="A207" s="7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</row>
    <row r="208" spans="1:39" s="4" customFormat="1">
      <c r="A208" s="7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</row>
    <row r="209" spans="1:39" s="4" customFormat="1">
      <c r="A209" s="7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</row>
    <row r="210" spans="1:39" s="4" customFormat="1">
      <c r="A210" s="7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</row>
    <row r="211" spans="1:39" s="4" customFormat="1">
      <c r="A211" s="7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</row>
    <row r="212" spans="1:39" s="4" customFormat="1">
      <c r="A212" s="7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</row>
    <row r="213" spans="1:39" s="4" customFormat="1">
      <c r="A213" s="7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</row>
    <row r="214" spans="1:39" s="4" customFormat="1">
      <c r="A214" s="7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</row>
    <row r="215" spans="1:39" s="4" customFormat="1">
      <c r="A215" s="7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</row>
    <row r="216" spans="1:39" s="4" customFormat="1">
      <c r="A216" s="7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</row>
    <row r="217" spans="1:39" s="4" customFormat="1">
      <c r="A217" s="7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</row>
    <row r="218" spans="1:39" s="4" customFormat="1">
      <c r="A218" s="7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</row>
    <row r="219" spans="1:39" s="4" customFormat="1">
      <c r="A219" s="7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</row>
    <row r="220" spans="1:39" s="4" customFormat="1">
      <c r="A220" s="7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</row>
    <row r="221" spans="1:39" s="4" customFormat="1">
      <c r="A221" s="7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</row>
    <row r="222" spans="1:39" s="4" customFormat="1">
      <c r="A222" s="7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</row>
    <row r="223" spans="1:39" s="4" customFormat="1">
      <c r="A223" s="7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</row>
    <row r="224" spans="1:39" s="4" customFormat="1">
      <c r="A224" s="7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</row>
    <row r="225" spans="1:39" s="4" customFormat="1">
      <c r="A225" s="7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</row>
    <row r="226" spans="1:39" s="4" customFormat="1">
      <c r="A226" s="7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</row>
    <row r="227" spans="1:39" s="4" customFormat="1">
      <c r="A227" s="7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</row>
    <row r="228" spans="1:39" s="4" customFormat="1">
      <c r="A228" s="7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</row>
    <row r="229" spans="1:39" s="4" customFormat="1">
      <c r="A229" s="7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</row>
    <row r="230" spans="1:39" s="4" customFormat="1">
      <c r="A230" s="7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</row>
    <row r="231" spans="1:39" s="4" customFormat="1">
      <c r="A231" s="7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</row>
    <row r="232" spans="1:39" s="4" customFormat="1">
      <c r="A232" s="7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</row>
    <row r="233" spans="1:39" s="4" customFormat="1">
      <c r="A233" s="7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</row>
    <row r="234" spans="1:39" s="4" customFormat="1">
      <c r="A234" s="7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</row>
    <row r="235" spans="1:39" s="4" customFormat="1">
      <c r="A235" s="7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</row>
    <row r="236" spans="1:39" s="4" customFormat="1">
      <c r="A236" s="7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</row>
    <row r="237" spans="1:39" s="4" customFormat="1">
      <c r="A237" s="7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</row>
    <row r="238" spans="1:39" s="4" customFormat="1">
      <c r="A238" s="7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</row>
    <row r="239" spans="1:39" s="4" customFormat="1">
      <c r="A239" s="7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</row>
    <row r="240" spans="1:39" s="4" customFormat="1">
      <c r="A240" s="7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</row>
    <row r="241" spans="1:47" s="4" customFormat="1">
      <c r="A241" s="7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</row>
    <row r="242" spans="1:47" s="4" customFormat="1">
      <c r="A242" s="7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</row>
    <row r="243" spans="1:47" s="4" customFormat="1">
      <c r="A243" s="8"/>
      <c r="B243" s="1"/>
      <c r="C243" s="1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1"/>
      <c r="AO243" s="1"/>
      <c r="AP243" s="1"/>
      <c r="AQ243" s="1"/>
      <c r="AR243" s="1"/>
      <c r="AS243" s="1"/>
      <c r="AT243" s="1"/>
      <c r="AU243" s="1"/>
    </row>
    <row r="244" spans="1:47" s="4" customFormat="1">
      <c r="A244" s="8"/>
      <c r="B244" s="1"/>
      <c r="C244" s="1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1"/>
      <c r="AO244" s="1"/>
      <c r="AP244" s="1"/>
      <c r="AQ244" s="1"/>
      <c r="AR244" s="1"/>
      <c r="AS244" s="1"/>
      <c r="AT244" s="1"/>
      <c r="AU244" s="1"/>
    </row>
    <row r="245" spans="1:47" s="4" customFormat="1">
      <c r="A245" s="8"/>
      <c r="B245" s="1"/>
      <c r="C245" s="1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1"/>
      <c r="AO245" s="1"/>
      <c r="AP245" s="1"/>
      <c r="AQ245" s="1"/>
      <c r="AR245" s="1"/>
      <c r="AS245" s="1"/>
      <c r="AT245" s="1"/>
      <c r="AU245" s="1"/>
    </row>
  </sheetData>
  <mergeCells count="41">
    <mergeCell ref="AX4:AX5"/>
    <mergeCell ref="AY4:AY5"/>
    <mergeCell ref="AZ4:AZ5"/>
    <mergeCell ref="AN24:AR24"/>
    <mergeCell ref="C24:E24"/>
    <mergeCell ref="AA24:AE24"/>
    <mergeCell ref="AN16:AR16"/>
    <mergeCell ref="AO23:AQ23"/>
    <mergeCell ref="D13:K13"/>
    <mergeCell ref="U13:AI13"/>
    <mergeCell ref="K23:Q23"/>
    <mergeCell ref="C23:F23"/>
    <mergeCell ref="Y23:AF23"/>
    <mergeCell ref="W16:AI16"/>
    <mergeCell ref="C16:F16"/>
    <mergeCell ref="J16:S16"/>
    <mergeCell ref="AP4:AP5"/>
    <mergeCell ref="AR13:AT13"/>
    <mergeCell ref="AU3:AW3"/>
    <mergeCell ref="AT4:AT5"/>
    <mergeCell ref="AV4:AV5"/>
    <mergeCell ref="AW4:AW5"/>
    <mergeCell ref="AU4:AU5"/>
    <mergeCell ref="AS4:AS5"/>
    <mergeCell ref="AR4:AR5"/>
    <mergeCell ref="D11:Q11"/>
    <mergeCell ref="BA4:BA5"/>
    <mergeCell ref="BB4:BB5"/>
    <mergeCell ref="BC4:BC5"/>
    <mergeCell ref="A3:AN3"/>
    <mergeCell ref="C4:C5"/>
    <mergeCell ref="A4:A5"/>
    <mergeCell ref="B4:B5"/>
    <mergeCell ref="AJ4:AJ5"/>
    <mergeCell ref="AI4:AI5"/>
    <mergeCell ref="AQ4:AQ5"/>
    <mergeCell ref="AK4:AK5"/>
    <mergeCell ref="AM4:AM5"/>
    <mergeCell ref="AN4:AN5"/>
    <mergeCell ref="AL4:AL5"/>
    <mergeCell ref="AO4:AO5"/>
  </mergeCells>
  <pageMargins left="0.7" right="0.7" top="0.75" bottom="0.75" header="0.3" footer="0.3"/>
  <pageSetup paperSize="9" scale="41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41"/>
  <sheetViews>
    <sheetView workbookViewId="0">
      <selection activeCell="B17" sqref="B17"/>
    </sheetView>
  </sheetViews>
  <sheetFormatPr defaultColWidth="8.85546875" defaultRowHeight="15"/>
  <cols>
    <col min="1" max="1" width="6.85546875" style="158" customWidth="1"/>
    <col min="2" max="2" width="32.42578125" style="158" customWidth="1"/>
    <col min="3" max="3" width="18.42578125" style="158" customWidth="1"/>
    <col min="4" max="4" width="19.140625" style="158" customWidth="1"/>
    <col min="5" max="5" width="19" style="158" customWidth="1"/>
    <col min="6" max="6" width="11.85546875" style="158" customWidth="1"/>
    <col min="7" max="7" width="9.7109375" style="159" customWidth="1"/>
    <col min="8" max="9" width="7.7109375" style="159" customWidth="1"/>
    <col min="10" max="10" width="16.42578125" style="24" customWidth="1"/>
    <col min="11" max="11" width="23.85546875" style="158" customWidth="1"/>
    <col min="12" max="12" width="8.85546875" style="158"/>
    <col min="13" max="13" width="25.28515625" style="158" bestFit="1" customWidth="1"/>
    <col min="14" max="256" width="8.85546875" style="158"/>
    <col min="257" max="257" width="6.85546875" style="158" customWidth="1"/>
    <col min="258" max="258" width="32.42578125" style="158" customWidth="1"/>
    <col min="259" max="259" width="18.42578125" style="158" customWidth="1"/>
    <col min="260" max="260" width="19.140625" style="158" customWidth="1"/>
    <col min="261" max="261" width="19" style="158" customWidth="1"/>
    <col min="262" max="262" width="11.85546875" style="158" customWidth="1"/>
    <col min="263" max="263" width="9.7109375" style="158" customWidth="1"/>
    <col min="264" max="265" width="7.7109375" style="158" customWidth="1"/>
    <col min="266" max="266" width="16.42578125" style="158" customWidth="1"/>
    <col min="267" max="267" width="23.85546875" style="158" customWidth="1"/>
    <col min="268" max="268" width="8.85546875" style="158"/>
    <col min="269" max="269" width="25.28515625" style="158" bestFit="1" customWidth="1"/>
    <col min="270" max="512" width="8.85546875" style="158"/>
    <col min="513" max="513" width="6.85546875" style="158" customWidth="1"/>
    <col min="514" max="514" width="32.42578125" style="158" customWidth="1"/>
    <col min="515" max="515" width="18.42578125" style="158" customWidth="1"/>
    <col min="516" max="516" width="19.140625" style="158" customWidth="1"/>
    <col min="517" max="517" width="19" style="158" customWidth="1"/>
    <col min="518" max="518" width="11.85546875" style="158" customWidth="1"/>
    <col min="519" max="519" width="9.7109375" style="158" customWidth="1"/>
    <col min="520" max="521" width="7.7109375" style="158" customWidth="1"/>
    <col min="522" max="522" width="16.42578125" style="158" customWidth="1"/>
    <col min="523" max="523" width="23.85546875" style="158" customWidth="1"/>
    <col min="524" max="524" width="8.85546875" style="158"/>
    <col min="525" max="525" width="25.28515625" style="158" bestFit="1" customWidth="1"/>
    <col min="526" max="768" width="8.85546875" style="158"/>
    <col min="769" max="769" width="6.85546875" style="158" customWidth="1"/>
    <col min="770" max="770" width="32.42578125" style="158" customWidth="1"/>
    <col min="771" max="771" width="18.42578125" style="158" customWidth="1"/>
    <col min="772" max="772" width="19.140625" style="158" customWidth="1"/>
    <col min="773" max="773" width="19" style="158" customWidth="1"/>
    <col min="774" max="774" width="11.85546875" style="158" customWidth="1"/>
    <col min="775" max="775" width="9.7109375" style="158" customWidth="1"/>
    <col min="776" max="777" width="7.7109375" style="158" customWidth="1"/>
    <col min="778" max="778" width="16.42578125" style="158" customWidth="1"/>
    <col min="779" max="779" width="23.85546875" style="158" customWidth="1"/>
    <col min="780" max="780" width="8.85546875" style="158"/>
    <col min="781" max="781" width="25.28515625" style="158" bestFit="1" customWidth="1"/>
    <col min="782" max="1024" width="8.85546875" style="158"/>
    <col min="1025" max="1025" width="6.85546875" style="158" customWidth="1"/>
    <col min="1026" max="1026" width="32.42578125" style="158" customWidth="1"/>
    <col min="1027" max="1027" width="18.42578125" style="158" customWidth="1"/>
    <col min="1028" max="1028" width="19.140625" style="158" customWidth="1"/>
    <col min="1029" max="1029" width="19" style="158" customWidth="1"/>
    <col min="1030" max="1030" width="11.85546875" style="158" customWidth="1"/>
    <col min="1031" max="1031" width="9.7109375" style="158" customWidth="1"/>
    <col min="1032" max="1033" width="7.7109375" style="158" customWidth="1"/>
    <col min="1034" max="1034" width="16.42578125" style="158" customWidth="1"/>
    <col min="1035" max="1035" width="23.85546875" style="158" customWidth="1"/>
    <col min="1036" max="1036" width="8.85546875" style="158"/>
    <col min="1037" max="1037" width="25.28515625" style="158" bestFit="1" customWidth="1"/>
    <col min="1038" max="1280" width="8.85546875" style="158"/>
    <col min="1281" max="1281" width="6.85546875" style="158" customWidth="1"/>
    <col min="1282" max="1282" width="32.42578125" style="158" customWidth="1"/>
    <col min="1283" max="1283" width="18.42578125" style="158" customWidth="1"/>
    <col min="1284" max="1284" width="19.140625" style="158" customWidth="1"/>
    <col min="1285" max="1285" width="19" style="158" customWidth="1"/>
    <col min="1286" max="1286" width="11.85546875" style="158" customWidth="1"/>
    <col min="1287" max="1287" width="9.7109375" style="158" customWidth="1"/>
    <col min="1288" max="1289" width="7.7109375" style="158" customWidth="1"/>
    <col min="1290" max="1290" width="16.42578125" style="158" customWidth="1"/>
    <col min="1291" max="1291" width="23.85546875" style="158" customWidth="1"/>
    <col min="1292" max="1292" width="8.85546875" style="158"/>
    <col min="1293" max="1293" width="25.28515625" style="158" bestFit="1" customWidth="1"/>
    <col min="1294" max="1536" width="8.85546875" style="158"/>
    <col min="1537" max="1537" width="6.85546875" style="158" customWidth="1"/>
    <col min="1538" max="1538" width="32.42578125" style="158" customWidth="1"/>
    <col min="1539" max="1539" width="18.42578125" style="158" customWidth="1"/>
    <col min="1540" max="1540" width="19.140625" style="158" customWidth="1"/>
    <col min="1541" max="1541" width="19" style="158" customWidth="1"/>
    <col min="1542" max="1542" width="11.85546875" style="158" customWidth="1"/>
    <col min="1543" max="1543" width="9.7109375" style="158" customWidth="1"/>
    <col min="1544" max="1545" width="7.7109375" style="158" customWidth="1"/>
    <col min="1546" max="1546" width="16.42578125" style="158" customWidth="1"/>
    <col min="1547" max="1547" width="23.85546875" style="158" customWidth="1"/>
    <col min="1548" max="1548" width="8.85546875" style="158"/>
    <col min="1549" max="1549" width="25.28515625" style="158" bestFit="1" customWidth="1"/>
    <col min="1550" max="1792" width="8.85546875" style="158"/>
    <col min="1793" max="1793" width="6.85546875" style="158" customWidth="1"/>
    <col min="1794" max="1794" width="32.42578125" style="158" customWidth="1"/>
    <col min="1795" max="1795" width="18.42578125" style="158" customWidth="1"/>
    <col min="1796" max="1796" width="19.140625" style="158" customWidth="1"/>
    <col min="1797" max="1797" width="19" style="158" customWidth="1"/>
    <col min="1798" max="1798" width="11.85546875" style="158" customWidth="1"/>
    <col min="1799" max="1799" width="9.7109375" style="158" customWidth="1"/>
    <col min="1800" max="1801" width="7.7109375" style="158" customWidth="1"/>
    <col min="1802" max="1802" width="16.42578125" style="158" customWidth="1"/>
    <col min="1803" max="1803" width="23.85546875" style="158" customWidth="1"/>
    <col min="1804" max="1804" width="8.85546875" style="158"/>
    <col min="1805" max="1805" width="25.28515625" style="158" bestFit="1" customWidth="1"/>
    <col min="1806" max="2048" width="8.85546875" style="158"/>
    <col min="2049" max="2049" width="6.85546875" style="158" customWidth="1"/>
    <col min="2050" max="2050" width="32.42578125" style="158" customWidth="1"/>
    <col min="2051" max="2051" width="18.42578125" style="158" customWidth="1"/>
    <col min="2052" max="2052" width="19.140625" style="158" customWidth="1"/>
    <col min="2053" max="2053" width="19" style="158" customWidth="1"/>
    <col min="2054" max="2054" width="11.85546875" style="158" customWidth="1"/>
    <col min="2055" max="2055" width="9.7109375" style="158" customWidth="1"/>
    <col min="2056" max="2057" width="7.7109375" style="158" customWidth="1"/>
    <col min="2058" max="2058" width="16.42578125" style="158" customWidth="1"/>
    <col min="2059" max="2059" width="23.85546875" style="158" customWidth="1"/>
    <col min="2060" max="2060" width="8.85546875" style="158"/>
    <col min="2061" max="2061" width="25.28515625" style="158" bestFit="1" customWidth="1"/>
    <col min="2062" max="2304" width="8.85546875" style="158"/>
    <col min="2305" max="2305" width="6.85546875" style="158" customWidth="1"/>
    <col min="2306" max="2306" width="32.42578125" style="158" customWidth="1"/>
    <col min="2307" max="2307" width="18.42578125" style="158" customWidth="1"/>
    <col min="2308" max="2308" width="19.140625" style="158" customWidth="1"/>
    <col min="2309" max="2309" width="19" style="158" customWidth="1"/>
    <col min="2310" max="2310" width="11.85546875" style="158" customWidth="1"/>
    <col min="2311" max="2311" width="9.7109375" style="158" customWidth="1"/>
    <col min="2312" max="2313" width="7.7109375" style="158" customWidth="1"/>
    <col min="2314" max="2314" width="16.42578125" style="158" customWidth="1"/>
    <col min="2315" max="2315" width="23.85546875" style="158" customWidth="1"/>
    <col min="2316" max="2316" width="8.85546875" style="158"/>
    <col min="2317" max="2317" width="25.28515625" style="158" bestFit="1" customWidth="1"/>
    <col min="2318" max="2560" width="8.85546875" style="158"/>
    <col min="2561" max="2561" width="6.85546875" style="158" customWidth="1"/>
    <col min="2562" max="2562" width="32.42578125" style="158" customWidth="1"/>
    <col min="2563" max="2563" width="18.42578125" style="158" customWidth="1"/>
    <col min="2564" max="2564" width="19.140625" style="158" customWidth="1"/>
    <col min="2565" max="2565" width="19" style="158" customWidth="1"/>
    <col min="2566" max="2566" width="11.85546875" style="158" customWidth="1"/>
    <col min="2567" max="2567" width="9.7109375" style="158" customWidth="1"/>
    <col min="2568" max="2569" width="7.7109375" style="158" customWidth="1"/>
    <col min="2570" max="2570" width="16.42578125" style="158" customWidth="1"/>
    <col min="2571" max="2571" width="23.85546875" style="158" customWidth="1"/>
    <col min="2572" max="2572" width="8.85546875" style="158"/>
    <col min="2573" max="2573" width="25.28515625" style="158" bestFit="1" customWidth="1"/>
    <col min="2574" max="2816" width="8.85546875" style="158"/>
    <col min="2817" max="2817" width="6.85546875" style="158" customWidth="1"/>
    <col min="2818" max="2818" width="32.42578125" style="158" customWidth="1"/>
    <col min="2819" max="2819" width="18.42578125" style="158" customWidth="1"/>
    <col min="2820" max="2820" width="19.140625" style="158" customWidth="1"/>
    <col min="2821" max="2821" width="19" style="158" customWidth="1"/>
    <col min="2822" max="2822" width="11.85546875" style="158" customWidth="1"/>
    <col min="2823" max="2823" width="9.7109375" style="158" customWidth="1"/>
    <col min="2824" max="2825" width="7.7109375" style="158" customWidth="1"/>
    <col min="2826" max="2826" width="16.42578125" style="158" customWidth="1"/>
    <col min="2827" max="2827" width="23.85546875" style="158" customWidth="1"/>
    <col min="2828" max="2828" width="8.85546875" style="158"/>
    <col min="2829" max="2829" width="25.28515625" style="158" bestFit="1" customWidth="1"/>
    <col min="2830" max="3072" width="8.85546875" style="158"/>
    <col min="3073" max="3073" width="6.85546875" style="158" customWidth="1"/>
    <col min="3074" max="3074" width="32.42578125" style="158" customWidth="1"/>
    <col min="3075" max="3075" width="18.42578125" style="158" customWidth="1"/>
    <col min="3076" max="3076" width="19.140625" style="158" customWidth="1"/>
    <col min="3077" max="3077" width="19" style="158" customWidth="1"/>
    <col min="3078" max="3078" width="11.85546875" style="158" customWidth="1"/>
    <col min="3079" max="3079" width="9.7109375" style="158" customWidth="1"/>
    <col min="3080" max="3081" width="7.7109375" style="158" customWidth="1"/>
    <col min="3082" max="3082" width="16.42578125" style="158" customWidth="1"/>
    <col min="3083" max="3083" width="23.85546875" style="158" customWidth="1"/>
    <col min="3084" max="3084" width="8.85546875" style="158"/>
    <col min="3085" max="3085" width="25.28515625" style="158" bestFit="1" customWidth="1"/>
    <col min="3086" max="3328" width="8.85546875" style="158"/>
    <col min="3329" max="3329" width="6.85546875" style="158" customWidth="1"/>
    <col min="3330" max="3330" width="32.42578125" style="158" customWidth="1"/>
    <col min="3331" max="3331" width="18.42578125" style="158" customWidth="1"/>
    <col min="3332" max="3332" width="19.140625" style="158" customWidth="1"/>
    <col min="3333" max="3333" width="19" style="158" customWidth="1"/>
    <col min="3334" max="3334" width="11.85546875" style="158" customWidth="1"/>
    <col min="3335" max="3335" width="9.7109375" style="158" customWidth="1"/>
    <col min="3336" max="3337" width="7.7109375" style="158" customWidth="1"/>
    <col min="3338" max="3338" width="16.42578125" style="158" customWidth="1"/>
    <col min="3339" max="3339" width="23.85546875" style="158" customWidth="1"/>
    <col min="3340" max="3340" width="8.85546875" style="158"/>
    <col min="3341" max="3341" width="25.28515625" style="158" bestFit="1" customWidth="1"/>
    <col min="3342" max="3584" width="8.85546875" style="158"/>
    <col min="3585" max="3585" width="6.85546875" style="158" customWidth="1"/>
    <col min="3586" max="3586" width="32.42578125" style="158" customWidth="1"/>
    <col min="3587" max="3587" width="18.42578125" style="158" customWidth="1"/>
    <col min="3588" max="3588" width="19.140625" style="158" customWidth="1"/>
    <col min="3589" max="3589" width="19" style="158" customWidth="1"/>
    <col min="3590" max="3590" width="11.85546875" style="158" customWidth="1"/>
    <col min="3591" max="3591" width="9.7109375" style="158" customWidth="1"/>
    <col min="3592" max="3593" width="7.7109375" style="158" customWidth="1"/>
    <col min="3594" max="3594" width="16.42578125" style="158" customWidth="1"/>
    <col min="3595" max="3595" width="23.85546875" style="158" customWidth="1"/>
    <col min="3596" max="3596" width="8.85546875" style="158"/>
    <col min="3597" max="3597" width="25.28515625" style="158" bestFit="1" customWidth="1"/>
    <col min="3598" max="3840" width="8.85546875" style="158"/>
    <col min="3841" max="3841" width="6.85546875" style="158" customWidth="1"/>
    <col min="3842" max="3842" width="32.42578125" style="158" customWidth="1"/>
    <col min="3843" max="3843" width="18.42578125" style="158" customWidth="1"/>
    <col min="3844" max="3844" width="19.140625" style="158" customWidth="1"/>
    <col min="3845" max="3845" width="19" style="158" customWidth="1"/>
    <col min="3846" max="3846" width="11.85546875" style="158" customWidth="1"/>
    <col min="3847" max="3847" width="9.7109375" style="158" customWidth="1"/>
    <col min="3848" max="3849" width="7.7109375" style="158" customWidth="1"/>
    <col min="3850" max="3850" width="16.42578125" style="158" customWidth="1"/>
    <col min="3851" max="3851" width="23.85546875" style="158" customWidth="1"/>
    <col min="3852" max="3852" width="8.85546875" style="158"/>
    <col min="3853" max="3853" width="25.28515625" style="158" bestFit="1" customWidth="1"/>
    <col min="3854" max="4096" width="8.85546875" style="158"/>
    <col min="4097" max="4097" width="6.85546875" style="158" customWidth="1"/>
    <col min="4098" max="4098" width="32.42578125" style="158" customWidth="1"/>
    <col min="4099" max="4099" width="18.42578125" style="158" customWidth="1"/>
    <col min="4100" max="4100" width="19.140625" style="158" customWidth="1"/>
    <col min="4101" max="4101" width="19" style="158" customWidth="1"/>
    <col min="4102" max="4102" width="11.85546875" style="158" customWidth="1"/>
    <col min="4103" max="4103" width="9.7109375" style="158" customWidth="1"/>
    <col min="4104" max="4105" width="7.7109375" style="158" customWidth="1"/>
    <col min="4106" max="4106" width="16.42578125" style="158" customWidth="1"/>
    <col min="4107" max="4107" width="23.85546875" style="158" customWidth="1"/>
    <col min="4108" max="4108" width="8.85546875" style="158"/>
    <col min="4109" max="4109" width="25.28515625" style="158" bestFit="1" customWidth="1"/>
    <col min="4110" max="4352" width="8.85546875" style="158"/>
    <col min="4353" max="4353" width="6.85546875" style="158" customWidth="1"/>
    <col min="4354" max="4354" width="32.42578125" style="158" customWidth="1"/>
    <col min="4355" max="4355" width="18.42578125" style="158" customWidth="1"/>
    <col min="4356" max="4356" width="19.140625" style="158" customWidth="1"/>
    <col min="4357" max="4357" width="19" style="158" customWidth="1"/>
    <col min="4358" max="4358" width="11.85546875" style="158" customWidth="1"/>
    <col min="4359" max="4359" width="9.7109375" style="158" customWidth="1"/>
    <col min="4360" max="4361" width="7.7109375" style="158" customWidth="1"/>
    <col min="4362" max="4362" width="16.42578125" style="158" customWidth="1"/>
    <col min="4363" max="4363" width="23.85546875" style="158" customWidth="1"/>
    <col min="4364" max="4364" width="8.85546875" style="158"/>
    <col min="4365" max="4365" width="25.28515625" style="158" bestFit="1" customWidth="1"/>
    <col min="4366" max="4608" width="8.85546875" style="158"/>
    <col min="4609" max="4609" width="6.85546875" style="158" customWidth="1"/>
    <col min="4610" max="4610" width="32.42578125" style="158" customWidth="1"/>
    <col min="4611" max="4611" width="18.42578125" style="158" customWidth="1"/>
    <col min="4612" max="4612" width="19.140625" style="158" customWidth="1"/>
    <col min="4613" max="4613" width="19" style="158" customWidth="1"/>
    <col min="4614" max="4614" width="11.85546875" style="158" customWidth="1"/>
    <col min="4615" max="4615" width="9.7109375" style="158" customWidth="1"/>
    <col min="4616" max="4617" width="7.7109375" style="158" customWidth="1"/>
    <col min="4618" max="4618" width="16.42578125" style="158" customWidth="1"/>
    <col min="4619" max="4619" width="23.85546875" style="158" customWidth="1"/>
    <col min="4620" max="4620" width="8.85546875" style="158"/>
    <col min="4621" max="4621" width="25.28515625" style="158" bestFit="1" customWidth="1"/>
    <col min="4622" max="4864" width="8.85546875" style="158"/>
    <col min="4865" max="4865" width="6.85546875" style="158" customWidth="1"/>
    <col min="4866" max="4866" width="32.42578125" style="158" customWidth="1"/>
    <col min="4867" max="4867" width="18.42578125" style="158" customWidth="1"/>
    <col min="4868" max="4868" width="19.140625" style="158" customWidth="1"/>
    <col min="4869" max="4869" width="19" style="158" customWidth="1"/>
    <col min="4870" max="4870" width="11.85546875" style="158" customWidth="1"/>
    <col min="4871" max="4871" width="9.7109375" style="158" customWidth="1"/>
    <col min="4872" max="4873" width="7.7109375" style="158" customWidth="1"/>
    <col min="4874" max="4874" width="16.42578125" style="158" customWidth="1"/>
    <col min="4875" max="4875" width="23.85546875" style="158" customWidth="1"/>
    <col min="4876" max="4876" width="8.85546875" style="158"/>
    <col min="4877" max="4877" width="25.28515625" style="158" bestFit="1" customWidth="1"/>
    <col min="4878" max="5120" width="8.85546875" style="158"/>
    <col min="5121" max="5121" width="6.85546875" style="158" customWidth="1"/>
    <col min="5122" max="5122" width="32.42578125" style="158" customWidth="1"/>
    <col min="5123" max="5123" width="18.42578125" style="158" customWidth="1"/>
    <col min="5124" max="5124" width="19.140625" style="158" customWidth="1"/>
    <col min="5125" max="5125" width="19" style="158" customWidth="1"/>
    <col min="5126" max="5126" width="11.85546875" style="158" customWidth="1"/>
    <col min="5127" max="5127" width="9.7109375" style="158" customWidth="1"/>
    <col min="5128" max="5129" width="7.7109375" style="158" customWidth="1"/>
    <col min="5130" max="5130" width="16.42578125" style="158" customWidth="1"/>
    <col min="5131" max="5131" width="23.85546875" style="158" customWidth="1"/>
    <col min="5132" max="5132" width="8.85546875" style="158"/>
    <col min="5133" max="5133" width="25.28515625" style="158" bestFit="1" customWidth="1"/>
    <col min="5134" max="5376" width="8.85546875" style="158"/>
    <col min="5377" max="5377" width="6.85546875" style="158" customWidth="1"/>
    <col min="5378" max="5378" width="32.42578125" style="158" customWidth="1"/>
    <col min="5379" max="5379" width="18.42578125" style="158" customWidth="1"/>
    <col min="5380" max="5380" width="19.140625" style="158" customWidth="1"/>
    <col min="5381" max="5381" width="19" style="158" customWidth="1"/>
    <col min="5382" max="5382" width="11.85546875" style="158" customWidth="1"/>
    <col min="5383" max="5383" width="9.7109375" style="158" customWidth="1"/>
    <col min="5384" max="5385" width="7.7109375" style="158" customWidth="1"/>
    <col min="5386" max="5386" width="16.42578125" style="158" customWidth="1"/>
    <col min="5387" max="5387" width="23.85546875" style="158" customWidth="1"/>
    <col min="5388" max="5388" width="8.85546875" style="158"/>
    <col min="5389" max="5389" width="25.28515625" style="158" bestFit="1" customWidth="1"/>
    <col min="5390" max="5632" width="8.85546875" style="158"/>
    <col min="5633" max="5633" width="6.85546875" style="158" customWidth="1"/>
    <col min="5634" max="5634" width="32.42578125" style="158" customWidth="1"/>
    <col min="5635" max="5635" width="18.42578125" style="158" customWidth="1"/>
    <col min="5636" max="5636" width="19.140625" style="158" customWidth="1"/>
    <col min="5637" max="5637" width="19" style="158" customWidth="1"/>
    <col min="5638" max="5638" width="11.85546875" style="158" customWidth="1"/>
    <col min="5639" max="5639" width="9.7109375" style="158" customWidth="1"/>
    <col min="5640" max="5641" width="7.7109375" style="158" customWidth="1"/>
    <col min="5642" max="5642" width="16.42578125" style="158" customWidth="1"/>
    <col min="5643" max="5643" width="23.85546875" style="158" customWidth="1"/>
    <col min="5644" max="5644" width="8.85546875" style="158"/>
    <col min="5645" max="5645" width="25.28515625" style="158" bestFit="1" customWidth="1"/>
    <col min="5646" max="5888" width="8.85546875" style="158"/>
    <col min="5889" max="5889" width="6.85546875" style="158" customWidth="1"/>
    <col min="5890" max="5890" width="32.42578125" style="158" customWidth="1"/>
    <col min="5891" max="5891" width="18.42578125" style="158" customWidth="1"/>
    <col min="5892" max="5892" width="19.140625" style="158" customWidth="1"/>
    <col min="5893" max="5893" width="19" style="158" customWidth="1"/>
    <col min="5894" max="5894" width="11.85546875" style="158" customWidth="1"/>
    <col min="5895" max="5895" width="9.7109375" style="158" customWidth="1"/>
    <col min="5896" max="5897" width="7.7109375" style="158" customWidth="1"/>
    <col min="5898" max="5898" width="16.42578125" style="158" customWidth="1"/>
    <col min="5899" max="5899" width="23.85546875" style="158" customWidth="1"/>
    <col min="5900" max="5900" width="8.85546875" style="158"/>
    <col min="5901" max="5901" width="25.28515625" style="158" bestFit="1" customWidth="1"/>
    <col min="5902" max="6144" width="8.85546875" style="158"/>
    <col min="6145" max="6145" width="6.85546875" style="158" customWidth="1"/>
    <col min="6146" max="6146" width="32.42578125" style="158" customWidth="1"/>
    <col min="6147" max="6147" width="18.42578125" style="158" customWidth="1"/>
    <col min="6148" max="6148" width="19.140625" style="158" customWidth="1"/>
    <col min="6149" max="6149" width="19" style="158" customWidth="1"/>
    <col min="6150" max="6150" width="11.85546875" style="158" customWidth="1"/>
    <col min="6151" max="6151" width="9.7109375" style="158" customWidth="1"/>
    <col min="6152" max="6153" width="7.7109375" style="158" customWidth="1"/>
    <col min="6154" max="6154" width="16.42578125" style="158" customWidth="1"/>
    <col min="6155" max="6155" width="23.85546875" style="158" customWidth="1"/>
    <col min="6156" max="6156" width="8.85546875" style="158"/>
    <col min="6157" max="6157" width="25.28515625" style="158" bestFit="1" customWidth="1"/>
    <col min="6158" max="6400" width="8.85546875" style="158"/>
    <col min="6401" max="6401" width="6.85546875" style="158" customWidth="1"/>
    <col min="6402" max="6402" width="32.42578125" style="158" customWidth="1"/>
    <col min="6403" max="6403" width="18.42578125" style="158" customWidth="1"/>
    <col min="6404" max="6404" width="19.140625" style="158" customWidth="1"/>
    <col min="6405" max="6405" width="19" style="158" customWidth="1"/>
    <col min="6406" max="6406" width="11.85546875" style="158" customWidth="1"/>
    <col min="6407" max="6407" width="9.7109375" style="158" customWidth="1"/>
    <col min="6408" max="6409" width="7.7109375" style="158" customWidth="1"/>
    <col min="6410" max="6410" width="16.42578125" style="158" customWidth="1"/>
    <col min="6411" max="6411" width="23.85546875" style="158" customWidth="1"/>
    <col min="6412" max="6412" width="8.85546875" style="158"/>
    <col min="6413" max="6413" width="25.28515625" style="158" bestFit="1" customWidth="1"/>
    <col min="6414" max="6656" width="8.85546875" style="158"/>
    <col min="6657" max="6657" width="6.85546875" style="158" customWidth="1"/>
    <col min="6658" max="6658" width="32.42578125" style="158" customWidth="1"/>
    <col min="6659" max="6659" width="18.42578125" style="158" customWidth="1"/>
    <col min="6660" max="6660" width="19.140625" style="158" customWidth="1"/>
    <col min="6661" max="6661" width="19" style="158" customWidth="1"/>
    <col min="6662" max="6662" width="11.85546875" style="158" customWidth="1"/>
    <col min="6663" max="6663" width="9.7109375" style="158" customWidth="1"/>
    <col min="6664" max="6665" width="7.7109375" style="158" customWidth="1"/>
    <col min="6666" max="6666" width="16.42578125" style="158" customWidth="1"/>
    <col min="6667" max="6667" width="23.85546875" style="158" customWidth="1"/>
    <col min="6668" max="6668" width="8.85546875" style="158"/>
    <col min="6669" max="6669" width="25.28515625" style="158" bestFit="1" customWidth="1"/>
    <col min="6670" max="6912" width="8.85546875" style="158"/>
    <col min="6913" max="6913" width="6.85546875" style="158" customWidth="1"/>
    <col min="6914" max="6914" width="32.42578125" style="158" customWidth="1"/>
    <col min="6915" max="6915" width="18.42578125" style="158" customWidth="1"/>
    <col min="6916" max="6916" width="19.140625" style="158" customWidth="1"/>
    <col min="6917" max="6917" width="19" style="158" customWidth="1"/>
    <col min="6918" max="6918" width="11.85546875" style="158" customWidth="1"/>
    <col min="6919" max="6919" width="9.7109375" style="158" customWidth="1"/>
    <col min="6920" max="6921" width="7.7109375" style="158" customWidth="1"/>
    <col min="6922" max="6922" width="16.42578125" style="158" customWidth="1"/>
    <col min="6923" max="6923" width="23.85546875" style="158" customWidth="1"/>
    <col min="6924" max="6924" width="8.85546875" style="158"/>
    <col min="6925" max="6925" width="25.28515625" style="158" bestFit="1" customWidth="1"/>
    <col min="6926" max="7168" width="8.85546875" style="158"/>
    <col min="7169" max="7169" width="6.85546875" style="158" customWidth="1"/>
    <col min="7170" max="7170" width="32.42578125" style="158" customWidth="1"/>
    <col min="7171" max="7171" width="18.42578125" style="158" customWidth="1"/>
    <col min="7172" max="7172" width="19.140625" style="158" customWidth="1"/>
    <col min="7173" max="7173" width="19" style="158" customWidth="1"/>
    <col min="7174" max="7174" width="11.85546875" style="158" customWidth="1"/>
    <col min="7175" max="7175" width="9.7109375" style="158" customWidth="1"/>
    <col min="7176" max="7177" width="7.7109375" style="158" customWidth="1"/>
    <col min="7178" max="7178" width="16.42578125" style="158" customWidth="1"/>
    <col min="7179" max="7179" width="23.85546875" style="158" customWidth="1"/>
    <col min="7180" max="7180" width="8.85546875" style="158"/>
    <col min="7181" max="7181" width="25.28515625" style="158" bestFit="1" customWidth="1"/>
    <col min="7182" max="7424" width="8.85546875" style="158"/>
    <col min="7425" max="7425" width="6.85546875" style="158" customWidth="1"/>
    <col min="7426" max="7426" width="32.42578125" style="158" customWidth="1"/>
    <col min="7427" max="7427" width="18.42578125" style="158" customWidth="1"/>
    <col min="7428" max="7428" width="19.140625" style="158" customWidth="1"/>
    <col min="7429" max="7429" width="19" style="158" customWidth="1"/>
    <col min="7430" max="7430" width="11.85546875" style="158" customWidth="1"/>
    <col min="7431" max="7431" width="9.7109375" style="158" customWidth="1"/>
    <col min="7432" max="7433" width="7.7109375" style="158" customWidth="1"/>
    <col min="7434" max="7434" width="16.42578125" style="158" customWidth="1"/>
    <col min="7435" max="7435" width="23.85546875" style="158" customWidth="1"/>
    <col min="7436" max="7436" width="8.85546875" style="158"/>
    <col min="7437" max="7437" width="25.28515625" style="158" bestFit="1" customWidth="1"/>
    <col min="7438" max="7680" width="8.85546875" style="158"/>
    <col min="7681" max="7681" width="6.85546875" style="158" customWidth="1"/>
    <col min="7682" max="7682" width="32.42578125" style="158" customWidth="1"/>
    <col min="7683" max="7683" width="18.42578125" style="158" customWidth="1"/>
    <col min="7684" max="7684" width="19.140625" style="158" customWidth="1"/>
    <col min="7685" max="7685" width="19" style="158" customWidth="1"/>
    <col min="7686" max="7686" width="11.85546875" style="158" customWidth="1"/>
    <col min="7687" max="7687" width="9.7109375" style="158" customWidth="1"/>
    <col min="7688" max="7689" width="7.7109375" style="158" customWidth="1"/>
    <col min="7690" max="7690" width="16.42578125" style="158" customWidth="1"/>
    <col min="7691" max="7691" width="23.85546875" style="158" customWidth="1"/>
    <col min="7692" max="7692" width="8.85546875" style="158"/>
    <col min="7693" max="7693" width="25.28515625" style="158" bestFit="1" customWidth="1"/>
    <col min="7694" max="7936" width="8.85546875" style="158"/>
    <col min="7937" max="7937" width="6.85546875" style="158" customWidth="1"/>
    <col min="7938" max="7938" width="32.42578125" style="158" customWidth="1"/>
    <col min="7939" max="7939" width="18.42578125" style="158" customWidth="1"/>
    <col min="7940" max="7940" width="19.140625" style="158" customWidth="1"/>
    <col min="7941" max="7941" width="19" style="158" customWidth="1"/>
    <col min="7942" max="7942" width="11.85546875" style="158" customWidth="1"/>
    <col min="7943" max="7943" width="9.7109375" style="158" customWidth="1"/>
    <col min="7944" max="7945" width="7.7109375" style="158" customWidth="1"/>
    <col min="7946" max="7946" width="16.42578125" style="158" customWidth="1"/>
    <col min="7947" max="7947" width="23.85546875" style="158" customWidth="1"/>
    <col min="7948" max="7948" width="8.85546875" style="158"/>
    <col min="7949" max="7949" width="25.28515625" style="158" bestFit="1" customWidth="1"/>
    <col min="7950" max="8192" width="8.85546875" style="158"/>
    <col min="8193" max="8193" width="6.85546875" style="158" customWidth="1"/>
    <col min="8194" max="8194" width="32.42578125" style="158" customWidth="1"/>
    <col min="8195" max="8195" width="18.42578125" style="158" customWidth="1"/>
    <col min="8196" max="8196" width="19.140625" style="158" customWidth="1"/>
    <col min="8197" max="8197" width="19" style="158" customWidth="1"/>
    <col min="8198" max="8198" width="11.85546875" style="158" customWidth="1"/>
    <col min="8199" max="8199" width="9.7109375" style="158" customWidth="1"/>
    <col min="8200" max="8201" width="7.7109375" style="158" customWidth="1"/>
    <col min="8202" max="8202" width="16.42578125" style="158" customWidth="1"/>
    <col min="8203" max="8203" width="23.85546875" style="158" customWidth="1"/>
    <col min="8204" max="8204" width="8.85546875" style="158"/>
    <col min="8205" max="8205" width="25.28515625" style="158" bestFit="1" customWidth="1"/>
    <col min="8206" max="8448" width="8.85546875" style="158"/>
    <col min="8449" max="8449" width="6.85546875" style="158" customWidth="1"/>
    <col min="8450" max="8450" width="32.42578125" style="158" customWidth="1"/>
    <col min="8451" max="8451" width="18.42578125" style="158" customWidth="1"/>
    <col min="8452" max="8452" width="19.140625" style="158" customWidth="1"/>
    <col min="8453" max="8453" width="19" style="158" customWidth="1"/>
    <col min="8454" max="8454" width="11.85546875" style="158" customWidth="1"/>
    <col min="8455" max="8455" width="9.7109375" style="158" customWidth="1"/>
    <col min="8456" max="8457" width="7.7109375" style="158" customWidth="1"/>
    <col min="8458" max="8458" width="16.42578125" style="158" customWidth="1"/>
    <col min="8459" max="8459" width="23.85546875" style="158" customWidth="1"/>
    <col min="8460" max="8460" width="8.85546875" style="158"/>
    <col min="8461" max="8461" width="25.28515625" style="158" bestFit="1" customWidth="1"/>
    <col min="8462" max="8704" width="8.85546875" style="158"/>
    <col min="8705" max="8705" width="6.85546875" style="158" customWidth="1"/>
    <col min="8706" max="8706" width="32.42578125" style="158" customWidth="1"/>
    <col min="8707" max="8707" width="18.42578125" style="158" customWidth="1"/>
    <col min="8708" max="8708" width="19.140625" style="158" customWidth="1"/>
    <col min="8709" max="8709" width="19" style="158" customWidth="1"/>
    <col min="8710" max="8710" width="11.85546875" style="158" customWidth="1"/>
    <col min="8711" max="8711" width="9.7109375" style="158" customWidth="1"/>
    <col min="8712" max="8713" width="7.7109375" style="158" customWidth="1"/>
    <col min="8714" max="8714" width="16.42578125" style="158" customWidth="1"/>
    <col min="8715" max="8715" width="23.85546875" style="158" customWidth="1"/>
    <col min="8716" max="8716" width="8.85546875" style="158"/>
    <col min="8717" max="8717" width="25.28515625" style="158" bestFit="1" customWidth="1"/>
    <col min="8718" max="8960" width="8.85546875" style="158"/>
    <col min="8961" max="8961" width="6.85546875" style="158" customWidth="1"/>
    <col min="8962" max="8962" width="32.42578125" style="158" customWidth="1"/>
    <col min="8963" max="8963" width="18.42578125" style="158" customWidth="1"/>
    <col min="8964" max="8964" width="19.140625" style="158" customWidth="1"/>
    <col min="8965" max="8965" width="19" style="158" customWidth="1"/>
    <col min="8966" max="8966" width="11.85546875" style="158" customWidth="1"/>
    <col min="8967" max="8967" width="9.7109375" style="158" customWidth="1"/>
    <col min="8968" max="8969" width="7.7109375" style="158" customWidth="1"/>
    <col min="8970" max="8970" width="16.42578125" style="158" customWidth="1"/>
    <col min="8971" max="8971" width="23.85546875" style="158" customWidth="1"/>
    <col min="8972" max="8972" width="8.85546875" style="158"/>
    <col min="8973" max="8973" width="25.28515625" style="158" bestFit="1" customWidth="1"/>
    <col min="8974" max="9216" width="8.85546875" style="158"/>
    <col min="9217" max="9217" width="6.85546875" style="158" customWidth="1"/>
    <col min="9218" max="9218" width="32.42578125" style="158" customWidth="1"/>
    <col min="9219" max="9219" width="18.42578125" style="158" customWidth="1"/>
    <col min="9220" max="9220" width="19.140625" style="158" customWidth="1"/>
    <col min="9221" max="9221" width="19" style="158" customWidth="1"/>
    <col min="9222" max="9222" width="11.85546875" style="158" customWidth="1"/>
    <col min="9223" max="9223" width="9.7109375" style="158" customWidth="1"/>
    <col min="9224" max="9225" width="7.7109375" style="158" customWidth="1"/>
    <col min="9226" max="9226" width="16.42578125" style="158" customWidth="1"/>
    <col min="9227" max="9227" width="23.85546875" style="158" customWidth="1"/>
    <col min="9228" max="9228" width="8.85546875" style="158"/>
    <col min="9229" max="9229" width="25.28515625" style="158" bestFit="1" customWidth="1"/>
    <col min="9230" max="9472" width="8.85546875" style="158"/>
    <col min="9473" max="9473" width="6.85546875" style="158" customWidth="1"/>
    <col min="9474" max="9474" width="32.42578125" style="158" customWidth="1"/>
    <col min="9475" max="9475" width="18.42578125" style="158" customWidth="1"/>
    <col min="9476" max="9476" width="19.140625" style="158" customWidth="1"/>
    <col min="9477" max="9477" width="19" style="158" customWidth="1"/>
    <col min="9478" max="9478" width="11.85546875" style="158" customWidth="1"/>
    <col min="9479" max="9479" width="9.7109375" style="158" customWidth="1"/>
    <col min="9480" max="9481" width="7.7109375" style="158" customWidth="1"/>
    <col min="9482" max="9482" width="16.42578125" style="158" customWidth="1"/>
    <col min="9483" max="9483" width="23.85546875" style="158" customWidth="1"/>
    <col min="9484" max="9484" width="8.85546875" style="158"/>
    <col min="9485" max="9485" width="25.28515625" style="158" bestFit="1" customWidth="1"/>
    <col min="9486" max="9728" width="8.85546875" style="158"/>
    <col min="9729" max="9729" width="6.85546875" style="158" customWidth="1"/>
    <col min="9730" max="9730" width="32.42578125" style="158" customWidth="1"/>
    <col min="9731" max="9731" width="18.42578125" style="158" customWidth="1"/>
    <col min="9732" max="9732" width="19.140625" style="158" customWidth="1"/>
    <col min="9733" max="9733" width="19" style="158" customWidth="1"/>
    <col min="9734" max="9734" width="11.85546875" style="158" customWidth="1"/>
    <col min="9735" max="9735" width="9.7109375" style="158" customWidth="1"/>
    <col min="9736" max="9737" width="7.7109375" style="158" customWidth="1"/>
    <col min="9738" max="9738" width="16.42578125" style="158" customWidth="1"/>
    <col min="9739" max="9739" width="23.85546875" style="158" customWidth="1"/>
    <col min="9740" max="9740" width="8.85546875" style="158"/>
    <col min="9741" max="9741" width="25.28515625" style="158" bestFit="1" customWidth="1"/>
    <col min="9742" max="9984" width="8.85546875" style="158"/>
    <col min="9985" max="9985" width="6.85546875" style="158" customWidth="1"/>
    <col min="9986" max="9986" width="32.42578125" style="158" customWidth="1"/>
    <col min="9987" max="9987" width="18.42578125" style="158" customWidth="1"/>
    <col min="9988" max="9988" width="19.140625" style="158" customWidth="1"/>
    <col min="9989" max="9989" width="19" style="158" customWidth="1"/>
    <col min="9990" max="9990" width="11.85546875" style="158" customWidth="1"/>
    <col min="9991" max="9991" width="9.7109375" style="158" customWidth="1"/>
    <col min="9992" max="9993" width="7.7109375" style="158" customWidth="1"/>
    <col min="9994" max="9994" width="16.42578125" style="158" customWidth="1"/>
    <col min="9995" max="9995" width="23.85546875" style="158" customWidth="1"/>
    <col min="9996" max="9996" width="8.85546875" style="158"/>
    <col min="9997" max="9997" width="25.28515625" style="158" bestFit="1" customWidth="1"/>
    <col min="9998" max="10240" width="8.85546875" style="158"/>
    <col min="10241" max="10241" width="6.85546875" style="158" customWidth="1"/>
    <col min="10242" max="10242" width="32.42578125" style="158" customWidth="1"/>
    <col min="10243" max="10243" width="18.42578125" style="158" customWidth="1"/>
    <col min="10244" max="10244" width="19.140625" style="158" customWidth="1"/>
    <col min="10245" max="10245" width="19" style="158" customWidth="1"/>
    <col min="10246" max="10246" width="11.85546875" style="158" customWidth="1"/>
    <col min="10247" max="10247" width="9.7109375" style="158" customWidth="1"/>
    <col min="10248" max="10249" width="7.7109375" style="158" customWidth="1"/>
    <col min="10250" max="10250" width="16.42578125" style="158" customWidth="1"/>
    <col min="10251" max="10251" width="23.85546875" style="158" customWidth="1"/>
    <col min="10252" max="10252" width="8.85546875" style="158"/>
    <col min="10253" max="10253" width="25.28515625" style="158" bestFit="1" customWidth="1"/>
    <col min="10254" max="10496" width="8.85546875" style="158"/>
    <col min="10497" max="10497" width="6.85546875" style="158" customWidth="1"/>
    <col min="10498" max="10498" width="32.42578125" style="158" customWidth="1"/>
    <col min="10499" max="10499" width="18.42578125" style="158" customWidth="1"/>
    <col min="10500" max="10500" width="19.140625" style="158" customWidth="1"/>
    <col min="10501" max="10501" width="19" style="158" customWidth="1"/>
    <col min="10502" max="10502" width="11.85546875" style="158" customWidth="1"/>
    <col min="10503" max="10503" width="9.7109375" style="158" customWidth="1"/>
    <col min="10504" max="10505" width="7.7109375" style="158" customWidth="1"/>
    <col min="10506" max="10506" width="16.42578125" style="158" customWidth="1"/>
    <col min="10507" max="10507" width="23.85546875" style="158" customWidth="1"/>
    <col min="10508" max="10508" width="8.85546875" style="158"/>
    <col min="10509" max="10509" width="25.28515625" style="158" bestFit="1" customWidth="1"/>
    <col min="10510" max="10752" width="8.85546875" style="158"/>
    <col min="10753" max="10753" width="6.85546875" style="158" customWidth="1"/>
    <col min="10754" max="10754" width="32.42578125" style="158" customWidth="1"/>
    <col min="10755" max="10755" width="18.42578125" style="158" customWidth="1"/>
    <col min="10756" max="10756" width="19.140625" style="158" customWidth="1"/>
    <col min="10757" max="10757" width="19" style="158" customWidth="1"/>
    <col min="10758" max="10758" width="11.85546875" style="158" customWidth="1"/>
    <col min="10759" max="10759" width="9.7109375" style="158" customWidth="1"/>
    <col min="10760" max="10761" width="7.7109375" style="158" customWidth="1"/>
    <col min="10762" max="10762" width="16.42578125" style="158" customWidth="1"/>
    <col min="10763" max="10763" width="23.85546875" style="158" customWidth="1"/>
    <col min="10764" max="10764" width="8.85546875" style="158"/>
    <col min="10765" max="10765" width="25.28515625" style="158" bestFit="1" customWidth="1"/>
    <col min="10766" max="11008" width="8.85546875" style="158"/>
    <col min="11009" max="11009" width="6.85546875" style="158" customWidth="1"/>
    <col min="11010" max="11010" width="32.42578125" style="158" customWidth="1"/>
    <col min="11011" max="11011" width="18.42578125" style="158" customWidth="1"/>
    <col min="11012" max="11012" width="19.140625" style="158" customWidth="1"/>
    <col min="11013" max="11013" width="19" style="158" customWidth="1"/>
    <col min="11014" max="11014" width="11.85546875" style="158" customWidth="1"/>
    <col min="11015" max="11015" width="9.7109375" style="158" customWidth="1"/>
    <col min="11016" max="11017" width="7.7109375" style="158" customWidth="1"/>
    <col min="11018" max="11018" width="16.42578125" style="158" customWidth="1"/>
    <col min="11019" max="11019" width="23.85546875" style="158" customWidth="1"/>
    <col min="11020" max="11020" width="8.85546875" style="158"/>
    <col min="11021" max="11021" width="25.28515625" style="158" bestFit="1" customWidth="1"/>
    <col min="11022" max="11264" width="8.85546875" style="158"/>
    <col min="11265" max="11265" width="6.85546875" style="158" customWidth="1"/>
    <col min="11266" max="11266" width="32.42578125" style="158" customWidth="1"/>
    <col min="11267" max="11267" width="18.42578125" style="158" customWidth="1"/>
    <col min="11268" max="11268" width="19.140625" style="158" customWidth="1"/>
    <col min="11269" max="11269" width="19" style="158" customWidth="1"/>
    <col min="11270" max="11270" width="11.85546875" style="158" customWidth="1"/>
    <col min="11271" max="11271" width="9.7109375" style="158" customWidth="1"/>
    <col min="11272" max="11273" width="7.7109375" style="158" customWidth="1"/>
    <col min="11274" max="11274" width="16.42578125" style="158" customWidth="1"/>
    <col min="11275" max="11275" width="23.85546875" style="158" customWidth="1"/>
    <col min="11276" max="11276" width="8.85546875" style="158"/>
    <col min="11277" max="11277" width="25.28515625" style="158" bestFit="1" customWidth="1"/>
    <col min="11278" max="11520" width="8.85546875" style="158"/>
    <col min="11521" max="11521" width="6.85546875" style="158" customWidth="1"/>
    <col min="11522" max="11522" width="32.42578125" style="158" customWidth="1"/>
    <col min="11523" max="11523" width="18.42578125" style="158" customWidth="1"/>
    <col min="11524" max="11524" width="19.140625" style="158" customWidth="1"/>
    <col min="11525" max="11525" width="19" style="158" customWidth="1"/>
    <col min="11526" max="11526" width="11.85546875" style="158" customWidth="1"/>
    <col min="11527" max="11527" width="9.7109375" style="158" customWidth="1"/>
    <col min="11528" max="11529" width="7.7109375" style="158" customWidth="1"/>
    <col min="11530" max="11530" width="16.42578125" style="158" customWidth="1"/>
    <col min="11531" max="11531" width="23.85546875" style="158" customWidth="1"/>
    <col min="11532" max="11532" width="8.85546875" style="158"/>
    <col min="11533" max="11533" width="25.28515625" style="158" bestFit="1" customWidth="1"/>
    <col min="11534" max="11776" width="8.85546875" style="158"/>
    <col min="11777" max="11777" width="6.85546875" style="158" customWidth="1"/>
    <col min="11778" max="11778" width="32.42578125" style="158" customWidth="1"/>
    <col min="11779" max="11779" width="18.42578125" style="158" customWidth="1"/>
    <col min="11780" max="11780" width="19.140625" style="158" customWidth="1"/>
    <col min="11781" max="11781" width="19" style="158" customWidth="1"/>
    <col min="11782" max="11782" width="11.85546875" style="158" customWidth="1"/>
    <col min="11783" max="11783" width="9.7109375" style="158" customWidth="1"/>
    <col min="11784" max="11785" width="7.7109375" style="158" customWidth="1"/>
    <col min="11786" max="11786" width="16.42578125" style="158" customWidth="1"/>
    <col min="11787" max="11787" width="23.85546875" style="158" customWidth="1"/>
    <col min="11788" max="11788" width="8.85546875" style="158"/>
    <col min="11789" max="11789" width="25.28515625" style="158" bestFit="1" customWidth="1"/>
    <col min="11790" max="12032" width="8.85546875" style="158"/>
    <col min="12033" max="12033" width="6.85546875" style="158" customWidth="1"/>
    <col min="12034" max="12034" width="32.42578125" style="158" customWidth="1"/>
    <col min="12035" max="12035" width="18.42578125" style="158" customWidth="1"/>
    <col min="12036" max="12036" width="19.140625" style="158" customWidth="1"/>
    <col min="12037" max="12037" width="19" style="158" customWidth="1"/>
    <col min="12038" max="12038" width="11.85546875" style="158" customWidth="1"/>
    <col min="12039" max="12039" width="9.7109375" style="158" customWidth="1"/>
    <col min="12040" max="12041" width="7.7109375" style="158" customWidth="1"/>
    <col min="12042" max="12042" width="16.42578125" style="158" customWidth="1"/>
    <col min="12043" max="12043" width="23.85546875" style="158" customWidth="1"/>
    <col min="12044" max="12044" width="8.85546875" style="158"/>
    <col min="12045" max="12045" width="25.28515625" style="158" bestFit="1" customWidth="1"/>
    <col min="12046" max="12288" width="8.85546875" style="158"/>
    <col min="12289" max="12289" width="6.85546875" style="158" customWidth="1"/>
    <col min="12290" max="12290" width="32.42578125" style="158" customWidth="1"/>
    <col min="12291" max="12291" width="18.42578125" style="158" customWidth="1"/>
    <col min="12292" max="12292" width="19.140625" style="158" customWidth="1"/>
    <col min="12293" max="12293" width="19" style="158" customWidth="1"/>
    <col min="12294" max="12294" width="11.85546875" style="158" customWidth="1"/>
    <col min="12295" max="12295" width="9.7109375" style="158" customWidth="1"/>
    <col min="12296" max="12297" width="7.7109375" style="158" customWidth="1"/>
    <col min="12298" max="12298" width="16.42578125" style="158" customWidth="1"/>
    <col min="12299" max="12299" width="23.85546875" style="158" customWidth="1"/>
    <col min="12300" max="12300" width="8.85546875" style="158"/>
    <col min="12301" max="12301" width="25.28515625" style="158" bestFit="1" customWidth="1"/>
    <col min="12302" max="12544" width="8.85546875" style="158"/>
    <col min="12545" max="12545" width="6.85546875" style="158" customWidth="1"/>
    <col min="12546" max="12546" width="32.42578125" style="158" customWidth="1"/>
    <col min="12547" max="12547" width="18.42578125" style="158" customWidth="1"/>
    <col min="12548" max="12548" width="19.140625" style="158" customWidth="1"/>
    <col min="12549" max="12549" width="19" style="158" customWidth="1"/>
    <col min="12550" max="12550" width="11.85546875" style="158" customWidth="1"/>
    <col min="12551" max="12551" width="9.7109375" style="158" customWidth="1"/>
    <col min="12552" max="12553" width="7.7109375" style="158" customWidth="1"/>
    <col min="12554" max="12554" width="16.42578125" style="158" customWidth="1"/>
    <col min="12555" max="12555" width="23.85546875" style="158" customWidth="1"/>
    <col min="12556" max="12556" width="8.85546875" style="158"/>
    <col min="12557" max="12557" width="25.28515625" style="158" bestFit="1" customWidth="1"/>
    <col min="12558" max="12800" width="8.85546875" style="158"/>
    <col min="12801" max="12801" width="6.85546875" style="158" customWidth="1"/>
    <col min="12802" max="12802" width="32.42578125" style="158" customWidth="1"/>
    <col min="12803" max="12803" width="18.42578125" style="158" customWidth="1"/>
    <col min="12804" max="12804" width="19.140625" style="158" customWidth="1"/>
    <col min="12805" max="12805" width="19" style="158" customWidth="1"/>
    <col min="12806" max="12806" width="11.85546875" style="158" customWidth="1"/>
    <col min="12807" max="12807" width="9.7109375" style="158" customWidth="1"/>
    <col min="12808" max="12809" width="7.7109375" style="158" customWidth="1"/>
    <col min="12810" max="12810" width="16.42578125" style="158" customWidth="1"/>
    <col min="12811" max="12811" width="23.85546875" style="158" customWidth="1"/>
    <col min="12812" max="12812" width="8.85546875" style="158"/>
    <col min="12813" max="12813" width="25.28515625" style="158" bestFit="1" customWidth="1"/>
    <col min="12814" max="13056" width="8.85546875" style="158"/>
    <col min="13057" max="13057" width="6.85546875" style="158" customWidth="1"/>
    <col min="13058" max="13058" width="32.42578125" style="158" customWidth="1"/>
    <col min="13059" max="13059" width="18.42578125" style="158" customWidth="1"/>
    <col min="13060" max="13060" width="19.140625" style="158" customWidth="1"/>
    <col min="13061" max="13061" width="19" style="158" customWidth="1"/>
    <col min="13062" max="13062" width="11.85546875" style="158" customWidth="1"/>
    <col min="13063" max="13063" width="9.7109375" style="158" customWidth="1"/>
    <col min="13064" max="13065" width="7.7109375" style="158" customWidth="1"/>
    <col min="13066" max="13066" width="16.42578125" style="158" customWidth="1"/>
    <col min="13067" max="13067" width="23.85546875" style="158" customWidth="1"/>
    <col min="13068" max="13068" width="8.85546875" style="158"/>
    <col min="13069" max="13069" width="25.28515625" style="158" bestFit="1" customWidth="1"/>
    <col min="13070" max="13312" width="8.85546875" style="158"/>
    <col min="13313" max="13313" width="6.85546875" style="158" customWidth="1"/>
    <col min="13314" max="13314" width="32.42578125" style="158" customWidth="1"/>
    <col min="13315" max="13315" width="18.42578125" style="158" customWidth="1"/>
    <col min="13316" max="13316" width="19.140625" style="158" customWidth="1"/>
    <col min="13317" max="13317" width="19" style="158" customWidth="1"/>
    <col min="13318" max="13318" width="11.85546875" style="158" customWidth="1"/>
    <col min="13319" max="13319" width="9.7109375" style="158" customWidth="1"/>
    <col min="13320" max="13321" width="7.7109375" style="158" customWidth="1"/>
    <col min="13322" max="13322" width="16.42578125" style="158" customWidth="1"/>
    <col min="13323" max="13323" width="23.85546875" style="158" customWidth="1"/>
    <col min="13324" max="13324" width="8.85546875" style="158"/>
    <col min="13325" max="13325" width="25.28515625" style="158" bestFit="1" customWidth="1"/>
    <col min="13326" max="13568" width="8.85546875" style="158"/>
    <col min="13569" max="13569" width="6.85546875" style="158" customWidth="1"/>
    <col min="13570" max="13570" width="32.42578125" style="158" customWidth="1"/>
    <col min="13571" max="13571" width="18.42578125" style="158" customWidth="1"/>
    <col min="13572" max="13572" width="19.140625" style="158" customWidth="1"/>
    <col min="13573" max="13573" width="19" style="158" customWidth="1"/>
    <col min="13574" max="13574" width="11.85546875" style="158" customWidth="1"/>
    <col min="13575" max="13575" width="9.7109375" style="158" customWidth="1"/>
    <col min="13576" max="13577" width="7.7109375" style="158" customWidth="1"/>
    <col min="13578" max="13578" width="16.42578125" style="158" customWidth="1"/>
    <col min="13579" max="13579" width="23.85546875" style="158" customWidth="1"/>
    <col min="13580" max="13580" width="8.85546875" style="158"/>
    <col min="13581" max="13581" width="25.28515625" style="158" bestFit="1" customWidth="1"/>
    <col min="13582" max="13824" width="8.85546875" style="158"/>
    <col min="13825" max="13825" width="6.85546875" style="158" customWidth="1"/>
    <col min="13826" max="13826" width="32.42578125" style="158" customWidth="1"/>
    <col min="13827" max="13827" width="18.42578125" style="158" customWidth="1"/>
    <col min="13828" max="13828" width="19.140625" style="158" customWidth="1"/>
    <col min="13829" max="13829" width="19" style="158" customWidth="1"/>
    <col min="13830" max="13830" width="11.85546875" style="158" customWidth="1"/>
    <col min="13831" max="13831" width="9.7109375" style="158" customWidth="1"/>
    <col min="13832" max="13833" width="7.7109375" style="158" customWidth="1"/>
    <col min="13834" max="13834" width="16.42578125" style="158" customWidth="1"/>
    <col min="13835" max="13835" width="23.85546875" style="158" customWidth="1"/>
    <col min="13836" max="13836" width="8.85546875" style="158"/>
    <col min="13837" max="13837" width="25.28515625" style="158" bestFit="1" customWidth="1"/>
    <col min="13838" max="14080" width="8.85546875" style="158"/>
    <col min="14081" max="14081" width="6.85546875" style="158" customWidth="1"/>
    <col min="14082" max="14082" width="32.42578125" style="158" customWidth="1"/>
    <col min="14083" max="14083" width="18.42578125" style="158" customWidth="1"/>
    <col min="14084" max="14084" width="19.140625" style="158" customWidth="1"/>
    <col min="14085" max="14085" width="19" style="158" customWidth="1"/>
    <col min="14086" max="14086" width="11.85546875" style="158" customWidth="1"/>
    <col min="14087" max="14087" width="9.7109375" style="158" customWidth="1"/>
    <col min="14088" max="14089" width="7.7109375" style="158" customWidth="1"/>
    <col min="14090" max="14090" width="16.42578125" style="158" customWidth="1"/>
    <col min="14091" max="14091" width="23.85546875" style="158" customWidth="1"/>
    <col min="14092" max="14092" width="8.85546875" style="158"/>
    <col min="14093" max="14093" width="25.28515625" style="158" bestFit="1" customWidth="1"/>
    <col min="14094" max="14336" width="8.85546875" style="158"/>
    <col min="14337" max="14337" width="6.85546875" style="158" customWidth="1"/>
    <col min="14338" max="14338" width="32.42578125" style="158" customWidth="1"/>
    <col min="14339" max="14339" width="18.42578125" style="158" customWidth="1"/>
    <col min="14340" max="14340" width="19.140625" style="158" customWidth="1"/>
    <col min="14341" max="14341" width="19" style="158" customWidth="1"/>
    <col min="14342" max="14342" width="11.85546875" style="158" customWidth="1"/>
    <col min="14343" max="14343" width="9.7109375" style="158" customWidth="1"/>
    <col min="14344" max="14345" width="7.7109375" style="158" customWidth="1"/>
    <col min="14346" max="14346" width="16.42578125" style="158" customWidth="1"/>
    <col min="14347" max="14347" width="23.85546875" style="158" customWidth="1"/>
    <col min="14348" max="14348" width="8.85546875" style="158"/>
    <col min="14349" max="14349" width="25.28515625" style="158" bestFit="1" customWidth="1"/>
    <col min="14350" max="14592" width="8.85546875" style="158"/>
    <col min="14593" max="14593" width="6.85546875" style="158" customWidth="1"/>
    <col min="14594" max="14594" width="32.42578125" style="158" customWidth="1"/>
    <col min="14595" max="14595" width="18.42578125" style="158" customWidth="1"/>
    <col min="14596" max="14596" width="19.140625" style="158" customWidth="1"/>
    <col min="14597" max="14597" width="19" style="158" customWidth="1"/>
    <col min="14598" max="14598" width="11.85546875" style="158" customWidth="1"/>
    <col min="14599" max="14599" width="9.7109375" style="158" customWidth="1"/>
    <col min="14600" max="14601" width="7.7109375" style="158" customWidth="1"/>
    <col min="14602" max="14602" width="16.42578125" style="158" customWidth="1"/>
    <col min="14603" max="14603" width="23.85546875" style="158" customWidth="1"/>
    <col min="14604" max="14604" width="8.85546875" style="158"/>
    <col min="14605" max="14605" width="25.28515625" style="158" bestFit="1" customWidth="1"/>
    <col min="14606" max="14848" width="8.85546875" style="158"/>
    <col min="14849" max="14849" width="6.85546875" style="158" customWidth="1"/>
    <col min="14850" max="14850" width="32.42578125" style="158" customWidth="1"/>
    <col min="14851" max="14851" width="18.42578125" style="158" customWidth="1"/>
    <col min="14852" max="14852" width="19.140625" style="158" customWidth="1"/>
    <col min="14853" max="14853" width="19" style="158" customWidth="1"/>
    <col min="14854" max="14854" width="11.85546875" style="158" customWidth="1"/>
    <col min="14855" max="14855" width="9.7109375" style="158" customWidth="1"/>
    <col min="14856" max="14857" width="7.7109375" style="158" customWidth="1"/>
    <col min="14858" max="14858" width="16.42578125" style="158" customWidth="1"/>
    <col min="14859" max="14859" width="23.85546875" style="158" customWidth="1"/>
    <col min="14860" max="14860" width="8.85546875" style="158"/>
    <col min="14861" max="14861" width="25.28515625" style="158" bestFit="1" customWidth="1"/>
    <col min="14862" max="15104" width="8.85546875" style="158"/>
    <col min="15105" max="15105" width="6.85546875" style="158" customWidth="1"/>
    <col min="15106" max="15106" width="32.42578125" style="158" customWidth="1"/>
    <col min="15107" max="15107" width="18.42578125" style="158" customWidth="1"/>
    <col min="15108" max="15108" width="19.140625" style="158" customWidth="1"/>
    <col min="15109" max="15109" width="19" style="158" customWidth="1"/>
    <col min="15110" max="15110" width="11.85546875" style="158" customWidth="1"/>
    <col min="15111" max="15111" width="9.7109375" style="158" customWidth="1"/>
    <col min="15112" max="15113" width="7.7109375" style="158" customWidth="1"/>
    <col min="15114" max="15114" width="16.42578125" style="158" customWidth="1"/>
    <col min="15115" max="15115" width="23.85546875" style="158" customWidth="1"/>
    <col min="15116" max="15116" width="8.85546875" style="158"/>
    <col min="15117" max="15117" width="25.28515625" style="158" bestFit="1" customWidth="1"/>
    <col min="15118" max="15360" width="8.85546875" style="158"/>
    <col min="15361" max="15361" width="6.85546875" style="158" customWidth="1"/>
    <col min="15362" max="15362" width="32.42578125" style="158" customWidth="1"/>
    <col min="15363" max="15363" width="18.42578125" style="158" customWidth="1"/>
    <col min="15364" max="15364" width="19.140625" style="158" customWidth="1"/>
    <col min="15365" max="15365" width="19" style="158" customWidth="1"/>
    <col min="15366" max="15366" width="11.85546875" style="158" customWidth="1"/>
    <col min="15367" max="15367" width="9.7109375" style="158" customWidth="1"/>
    <col min="15368" max="15369" width="7.7109375" style="158" customWidth="1"/>
    <col min="15370" max="15370" width="16.42578125" style="158" customWidth="1"/>
    <col min="15371" max="15371" width="23.85546875" style="158" customWidth="1"/>
    <col min="15372" max="15372" width="8.85546875" style="158"/>
    <col min="15373" max="15373" width="25.28515625" style="158" bestFit="1" customWidth="1"/>
    <col min="15374" max="15616" width="8.85546875" style="158"/>
    <col min="15617" max="15617" width="6.85546875" style="158" customWidth="1"/>
    <col min="15618" max="15618" width="32.42578125" style="158" customWidth="1"/>
    <col min="15619" max="15619" width="18.42578125" style="158" customWidth="1"/>
    <col min="15620" max="15620" width="19.140625" style="158" customWidth="1"/>
    <col min="15621" max="15621" width="19" style="158" customWidth="1"/>
    <col min="15622" max="15622" width="11.85546875" style="158" customWidth="1"/>
    <col min="15623" max="15623" width="9.7109375" style="158" customWidth="1"/>
    <col min="15624" max="15625" width="7.7109375" style="158" customWidth="1"/>
    <col min="15626" max="15626" width="16.42578125" style="158" customWidth="1"/>
    <col min="15627" max="15627" width="23.85546875" style="158" customWidth="1"/>
    <col min="15628" max="15628" width="8.85546875" style="158"/>
    <col min="15629" max="15629" width="25.28515625" style="158" bestFit="1" customWidth="1"/>
    <col min="15630" max="15872" width="8.85546875" style="158"/>
    <col min="15873" max="15873" width="6.85546875" style="158" customWidth="1"/>
    <col min="15874" max="15874" width="32.42578125" style="158" customWidth="1"/>
    <col min="15875" max="15875" width="18.42578125" style="158" customWidth="1"/>
    <col min="15876" max="15876" width="19.140625" style="158" customWidth="1"/>
    <col min="15877" max="15877" width="19" style="158" customWidth="1"/>
    <col min="15878" max="15878" width="11.85546875" style="158" customWidth="1"/>
    <col min="15879" max="15879" width="9.7109375" style="158" customWidth="1"/>
    <col min="15880" max="15881" width="7.7109375" style="158" customWidth="1"/>
    <col min="15882" max="15882" width="16.42578125" style="158" customWidth="1"/>
    <col min="15883" max="15883" width="23.85546875" style="158" customWidth="1"/>
    <col min="15884" max="15884" width="8.85546875" style="158"/>
    <col min="15885" max="15885" width="25.28515625" style="158" bestFit="1" customWidth="1"/>
    <col min="15886" max="16128" width="8.85546875" style="158"/>
    <col min="16129" max="16129" width="6.85546875" style="158" customWidth="1"/>
    <col min="16130" max="16130" width="32.42578125" style="158" customWidth="1"/>
    <col min="16131" max="16131" width="18.42578125" style="158" customWidth="1"/>
    <col min="16132" max="16132" width="19.140625" style="158" customWidth="1"/>
    <col min="16133" max="16133" width="19" style="158" customWidth="1"/>
    <col min="16134" max="16134" width="11.85546875" style="158" customWidth="1"/>
    <col min="16135" max="16135" width="9.7109375" style="158" customWidth="1"/>
    <col min="16136" max="16137" width="7.7109375" style="158" customWidth="1"/>
    <col min="16138" max="16138" width="16.42578125" style="158" customWidth="1"/>
    <col min="16139" max="16139" width="23.85546875" style="158" customWidth="1"/>
    <col min="16140" max="16140" width="8.85546875" style="158"/>
    <col min="16141" max="16141" width="25.28515625" style="158" bestFit="1" customWidth="1"/>
    <col min="16142" max="16384" width="8.85546875" style="158"/>
  </cols>
  <sheetData>
    <row r="1" spans="1:13" s="155" customFormat="1" ht="14.25">
      <c r="A1" s="155" t="s">
        <v>16</v>
      </c>
      <c r="G1" s="156"/>
      <c r="H1" s="156"/>
      <c r="I1" s="156"/>
      <c r="J1" s="15"/>
    </row>
    <row r="2" spans="1:13" s="155" customFormat="1" ht="14.25">
      <c r="A2" s="155" t="s">
        <v>17</v>
      </c>
      <c r="G2" s="156"/>
      <c r="H2" s="156"/>
      <c r="I2" s="156"/>
      <c r="J2" s="15"/>
    </row>
    <row r="3" spans="1:13" s="155" customFormat="1" ht="14.25">
      <c r="G3" s="156"/>
      <c r="H3" s="156"/>
      <c r="I3" s="156"/>
      <c r="J3" s="15"/>
    </row>
    <row r="4" spans="1:13" s="157" customFormat="1" ht="20.25">
      <c r="A4" s="418" t="s">
        <v>75</v>
      </c>
      <c r="B4" s="418"/>
      <c r="C4" s="418"/>
      <c r="D4" s="418"/>
      <c r="E4" s="418"/>
      <c r="F4" s="418"/>
      <c r="G4" s="418"/>
      <c r="H4" s="418"/>
      <c r="I4" s="418"/>
      <c r="J4" s="418"/>
      <c r="K4" s="418"/>
    </row>
    <row r="5" spans="1:13" s="157" customFormat="1" ht="20.25">
      <c r="A5" s="418" t="s">
        <v>130</v>
      </c>
      <c r="B5" s="418"/>
      <c r="C5" s="418"/>
      <c r="D5" s="418"/>
      <c r="E5" s="418"/>
      <c r="F5" s="418"/>
      <c r="G5" s="418"/>
      <c r="H5" s="418"/>
      <c r="I5" s="418"/>
      <c r="J5" s="418"/>
      <c r="K5" s="418"/>
    </row>
    <row r="7" spans="1:13" s="162" customFormat="1" ht="47.25">
      <c r="A7" s="16" t="s">
        <v>0</v>
      </c>
      <c r="B7" s="16" t="s">
        <v>18</v>
      </c>
      <c r="C7" s="16" t="s">
        <v>19</v>
      </c>
      <c r="D7" s="16" t="s">
        <v>131</v>
      </c>
      <c r="E7" s="16" t="s">
        <v>132</v>
      </c>
      <c r="F7" s="16" t="s">
        <v>20</v>
      </c>
      <c r="G7" s="160" t="s">
        <v>21</v>
      </c>
      <c r="H7" s="160" t="s">
        <v>22</v>
      </c>
      <c r="I7" s="160" t="s">
        <v>23</v>
      </c>
      <c r="J7" s="161" t="s">
        <v>24</v>
      </c>
      <c r="K7" s="16" t="s">
        <v>25</v>
      </c>
    </row>
    <row r="8" spans="1:13" s="168" customFormat="1" ht="15.75">
      <c r="A8" s="17"/>
      <c r="B8" s="17"/>
      <c r="C8" s="163"/>
      <c r="D8" s="261">
        <v>740000000</v>
      </c>
      <c r="E8" s="261">
        <v>755056000</v>
      </c>
      <c r="F8" s="164">
        <f>E8/D8</f>
        <v>1.0203459459459459</v>
      </c>
      <c r="G8" s="165"/>
      <c r="H8" s="165"/>
      <c r="I8" s="166">
        <v>26</v>
      </c>
      <c r="J8" s="167"/>
      <c r="K8" s="17"/>
    </row>
    <row r="9" spans="1:13" s="172" customFormat="1" ht="15.75">
      <c r="A9" s="161"/>
      <c r="B9" s="161"/>
      <c r="C9" s="169"/>
      <c r="D9" s="161"/>
      <c r="E9" s="419" t="s">
        <v>133</v>
      </c>
      <c r="F9" s="420"/>
      <c r="G9" s="420"/>
      <c r="H9" s="420"/>
      <c r="I9" s="421"/>
      <c r="J9" s="170">
        <f>E26</f>
        <v>22047184</v>
      </c>
      <c r="K9" s="171"/>
    </row>
    <row r="10" spans="1:13" s="172" customFormat="1" ht="15.75">
      <c r="A10" s="161"/>
      <c r="B10" s="161"/>
      <c r="C10" s="169"/>
      <c r="D10" s="161"/>
      <c r="E10" s="419" t="s">
        <v>134</v>
      </c>
      <c r="F10" s="420"/>
      <c r="G10" s="420"/>
      <c r="H10" s="420"/>
      <c r="I10" s="421"/>
      <c r="J10" s="173">
        <f>E28</f>
        <v>15157439</v>
      </c>
      <c r="K10" s="171"/>
    </row>
    <row r="11" spans="1:13" s="172" customFormat="1" ht="15.75">
      <c r="A11" s="161"/>
      <c r="B11" s="161"/>
      <c r="C11" s="210"/>
      <c r="D11" s="161"/>
      <c r="E11" s="210"/>
      <c r="F11" s="211"/>
      <c r="G11" s="211"/>
      <c r="H11" s="211"/>
      <c r="I11" s="212"/>
      <c r="J11" s="173"/>
      <c r="K11" s="171"/>
    </row>
    <row r="12" spans="1:13" s="19" customFormat="1" ht="15.75">
      <c r="A12" s="174">
        <v>1</v>
      </c>
      <c r="B12" s="213" t="s">
        <v>78</v>
      </c>
      <c r="C12" s="55" t="s">
        <v>89</v>
      </c>
      <c r="D12" s="208">
        <v>740000000</v>
      </c>
      <c r="E12" s="208">
        <v>755056000</v>
      </c>
      <c r="F12" s="177">
        <f>E12/D12</f>
        <v>1.0203459459459459</v>
      </c>
      <c r="G12" s="178">
        <v>2</v>
      </c>
      <c r="H12" s="179">
        <f>VLOOKUP(B12,'BẢNG CÔNG '!$B$6:$AN$8,39,FALSE)</f>
        <v>26</v>
      </c>
      <c r="I12" s="180">
        <f t="shared" ref="I12:I17" si="0">$I$8</f>
        <v>26</v>
      </c>
      <c r="J12" s="181">
        <f>IF(H12&gt;=7,$J$9/$G$18*G12*H12/I12,0)</f>
        <v>6889745.0000000009</v>
      </c>
      <c r="K12" s="18"/>
    </row>
    <row r="13" spans="1:13" s="19" customFormat="1" ht="15.75">
      <c r="A13" s="174">
        <v>2</v>
      </c>
      <c r="B13" s="249" t="s">
        <v>118</v>
      </c>
      <c r="C13" s="209" t="s">
        <v>111</v>
      </c>
      <c r="D13" s="250"/>
      <c r="E13" s="251"/>
      <c r="F13" s="182" t="e">
        <f>E13/E18</f>
        <v>#DIV/0!</v>
      </c>
      <c r="G13" s="178">
        <v>1</v>
      </c>
      <c r="H13" s="179">
        <f>VLOOKUP(B13,'BẢNG CÔNG '!$B$6:$AN$8,39,FALSE)</f>
        <v>26</v>
      </c>
      <c r="I13" s="180">
        <f t="shared" si="0"/>
        <v>26</v>
      </c>
      <c r="J13" s="181" t="e">
        <f>$J$10*F13</f>
        <v>#DIV/0!</v>
      </c>
      <c r="K13" s="252"/>
      <c r="M13" s="183"/>
    </row>
    <row r="14" spans="1:13" s="19" customFormat="1" ht="15.75">
      <c r="A14" s="174">
        <v>3</v>
      </c>
      <c r="B14" s="213" t="s">
        <v>107</v>
      </c>
      <c r="C14" s="209" t="s">
        <v>111</v>
      </c>
      <c r="D14" s="175"/>
      <c r="E14" s="176"/>
      <c r="F14" s="182" t="e">
        <f>E14/E18</f>
        <v>#DIV/0!</v>
      </c>
      <c r="G14" s="178">
        <v>1</v>
      </c>
      <c r="H14" s="179">
        <f>VLOOKUP(B14,'BẢNG CÔNG '!$B$6:$AN$8,39,FALSE)</f>
        <v>26</v>
      </c>
      <c r="I14" s="180">
        <f t="shared" si="0"/>
        <v>26</v>
      </c>
      <c r="J14" s="181" t="e">
        <f t="shared" ref="J14" si="1">$J$10*F14</f>
        <v>#DIV/0!</v>
      </c>
      <c r="K14" s="18"/>
      <c r="M14" s="183"/>
    </row>
    <row r="15" spans="1:13" s="19" customFormat="1" ht="15.75">
      <c r="A15" s="174">
        <v>4</v>
      </c>
      <c r="B15" s="291" t="s">
        <v>121</v>
      </c>
      <c r="C15" s="230" t="s">
        <v>108</v>
      </c>
      <c r="D15" s="250"/>
      <c r="E15" s="251"/>
      <c r="F15" s="182" t="e">
        <f>E15/E18</f>
        <v>#DIV/0!</v>
      </c>
      <c r="G15" s="178">
        <v>0.8</v>
      </c>
      <c r="H15" s="179">
        <f>VLOOKUP(B15,'BẢNG CÔNG '!$B$6:$AN$20,39,FALSE)</f>
        <v>26</v>
      </c>
      <c r="I15" s="180">
        <f t="shared" si="0"/>
        <v>26</v>
      </c>
      <c r="J15" s="185" t="e">
        <f t="shared" ref="J15:J17" si="2">$J$10*F15</f>
        <v>#DIV/0!</v>
      </c>
      <c r="K15" s="252"/>
      <c r="M15" s="231"/>
    </row>
    <row r="16" spans="1:13" s="19" customFormat="1" ht="15.75">
      <c r="A16" s="174">
        <v>5</v>
      </c>
      <c r="B16" s="291" t="s">
        <v>123</v>
      </c>
      <c r="C16" s="230" t="s">
        <v>108</v>
      </c>
      <c r="D16" s="250"/>
      <c r="E16" s="251"/>
      <c r="F16" s="182" t="e">
        <f>E16/E18</f>
        <v>#DIV/0!</v>
      </c>
      <c r="G16" s="178">
        <v>0.8</v>
      </c>
      <c r="H16" s="179">
        <f>VLOOKUP(B16,'BẢNG CÔNG '!$B$6:$AN$20,39,FALSE)</f>
        <v>26</v>
      </c>
      <c r="I16" s="180">
        <f t="shared" si="0"/>
        <v>26</v>
      </c>
      <c r="J16" s="185" t="e">
        <f t="shared" si="2"/>
        <v>#DIV/0!</v>
      </c>
      <c r="K16" s="252"/>
      <c r="M16" s="231"/>
    </row>
    <row r="17" spans="1:14" s="329" customFormat="1" ht="15.75">
      <c r="A17" s="318">
        <v>6</v>
      </c>
      <c r="B17" s="319" t="s">
        <v>135</v>
      </c>
      <c r="C17" s="320" t="s">
        <v>108</v>
      </c>
      <c r="D17" s="321"/>
      <c r="E17" s="322"/>
      <c r="F17" s="323" t="e">
        <f>E17/E19</f>
        <v>#DIV/0!</v>
      </c>
      <c r="G17" s="324">
        <v>0.8</v>
      </c>
      <c r="H17" s="325">
        <f>VLOOKUP(B17,'BẢNG CÔNG '!$B$6:$AN$20,39,FALSE)</f>
        <v>14</v>
      </c>
      <c r="I17" s="326">
        <f t="shared" si="0"/>
        <v>26</v>
      </c>
      <c r="J17" s="327" t="e">
        <f t="shared" si="2"/>
        <v>#DIV/0!</v>
      </c>
      <c r="K17" s="328"/>
      <c r="M17" s="183"/>
    </row>
    <row r="18" spans="1:14" s="155" customFormat="1" ht="15.75">
      <c r="A18" s="184"/>
      <c r="B18" s="184" t="s">
        <v>26</v>
      </c>
      <c r="C18" s="184"/>
      <c r="D18" s="185">
        <f>SUM(D13:D17)</f>
        <v>0</v>
      </c>
      <c r="E18" s="185">
        <f>SUM(E13:E17)</f>
        <v>0</v>
      </c>
      <c r="F18" s="186" t="e">
        <f>SUM(F13:F17)</f>
        <v>#DIV/0!</v>
      </c>
      <c r="G18" s="187">
        <f>SUM(G12:G17)</f>
        <v>6.3999999999999995</v>
      </c>
      <c r="H18" s="187"/>
      <c r="I18" s="187"/>
      <c r="J18" s="188" t="e">
        <f>SUM(J12:J17)</f>
        <v>#DIV/0!</v>
      </c>
      <c r="K18" s="184"/>
      <c r="M18" s="183"/>
      <c r="N18" s="19"/>
    </row>
    <row r="19" spans="1:14">
      <c r="A19" s="423" t="s">
        <v>27</v>
      </c>
      <c r="B19" s="423"/>
      <c r="C19" s="423"/>
      <c r="D19" s="423"/>
      <c r="E19" s="423"/>
      <c r="F19" s="423"/>
      <c r="G19" s="423"/>
      <c r="H19" s="423"/>
      <c r="I19" s="423"/>
      <c r="J19" s="423"/>
      <c r="M19" s="183"/>
    </row>
    <row r="20" spans="1:14" ht="15.75">
      <c r="A20" s="424" t="s">
        <v>28</v>
      </c>
      <c r="B20" s="424"/>
      <c r="C20" s="424"/>
      <c r="D20" s="424"/>
      <c r="E20" s="424"/>
      <c r="F20" s="424"/>
      <c r="G20" s="424"/>
      <c r="H20" s="424"/>
      <c r="I20" s="424"/>
      <c r="J20" s="424"/>
      <c r="K20" s="424"/>
    </row>
    <row r="21" spans="1:14" ht="15.75">
      <c r="A21" s="422" t="s">
        <v>29</v>
      </c>
      <c r="B21" s="422"/>
      <c r="C21" s="422"/>
      <c r="D21" s="422"/>
      <c r="E21" s="422"/>
      <c r="F21" s="422"/>
      <c r="G21" s="422"/>
      <c r="H21" s="422"/>
      <c r="I21" s="422"/>
      <c r="J21" s="422"/>
      <c r="K21" s="422"/>
    </row>
    <row r="22" spans="1:14">
      <c r="A22" s="52" t="s">
        <v>41</v>
      </c>
      <c r="C22" s="189"/>
      <c r="G22" s="158"/>
      <c r="H22" s="158"/>
      <c r="I22" s="158"/>
      <c r="J22" s="158"/>
    </row>
    <row r="23" spans="1:14" ht="16.5">
      <c r="B23" s="417" t="s">
        <v>30</v>
      </c>
      <c r="C23" s="417"/>
      <c r="D23" s="417"/>
      <c r="E23" s="20">
        <f>IF(F8&lt;=60%,0.006,IF(F8&lt;=70%,0.009,IF(F8&lt;=80%,0.014,IF(F8&lt;=90%,0.021,IF(M8&lt;=100%,0.029)))))</f>
        <v>2.9000000000000001E-2</v>
      </c>
      <c r="F23" s="190"/>
      <c r="G23" s="190"/>
      <c r="H23" s="190"/>
      <c r="I23" s="190"/>
      <c r="J23" s="158"/>
      <c r="K23" s="191"/>
    </row>
    <row r="24" spans="1:14" ht="16.5">
      <c r="B24" s="414" t="s">
        <v>31</v>
      </c>
      <c r="C24" s="415"/>
      <c r="D24" s="416"/>
      <c r="E24" s="20">
        <f>IF(F8&gt;100%,0.039,"-")</f>
        <v>3.9E-2</v>
      </c>
      <c r="G24" s="158"/>
      <c r="H24" s="192"/>
      <c r="I24" s="192"/>
      <c r="J24" s="192"/>
      <c r="K24" s="193"/>
    </row>
    <row r="25" spans="1:14" ht="16.5">
      <c r="B25" s="417" t="s">
        <v>32</v>
      </c>
      <c r="C25" s="417"/>
      <c r="D25" s="417"/>
      <c r="E25" s="21">
        <f>E8/D8</f>
        <v>1.0203459459459459</v>
      </c>
      <c r="G25" s="158"/>
      <c r="H25" s="192"/>
      <c r="I25" s="192"/>
      <c r="J25" s="192"/>
    </row>
    <row r="26" spans="1:14" ht="16.5">
      <c r="B26" s="417" t="s">
        <v>33</v>
      </c>
      <c r="C26" s="417"/>
      <c r="D26" s="417"/>
      <c r="E26" s="194">
        <f>IF(F8&lt;=100%,E23*E8,E23*D8+(E8-D8)*E24)</f>
        <v>22047184</v>
      </c>
      <c r="F26" s="195"/>
      <c r="G26" s="158"/>
      <c r="H26" s="196"/>
      <c r="I26" s="196"/>
      <c r="J26" s="196"/>
      <c r="K26" s="193"/>
    </row>
    <row r="27" spans="1:14" ht="16.5">
      <c r="B27" s="414" t="s">
        <v>34</v>
      </c>
      <c r="C27" s="415"/>
      <c r="D27" s="416"/>
      <c r="E27" s="22">
        <f>SUM(J12:J12)</f>
        <v>6889745.0000000009</v>
      </c>
      <c r="G27" s="158"/>
      <c r="H27" s="197"/>
      <c r="I27" s="197"/>
      <c r="J27" s="197"/>
    </row>
    <row r="28" spans="1:14" ht="16.5">
      <c r="B28" s="417" t="s">
        <v>35</v>
      </c>
      <c r="C28" s="417"/>
      <c r="D28" s="417"/>
      <c r="E28" s="23">
        <f>E26-E27</f>
        <v>15157439</v>
      </c>
      <c r="F28" s="190"/>
      <c r="G28" s="190"/>
      <c r="H28" s="198"/>
      <c r="I28" s="198"/>
      <c r="J28" s="198"/>
    </row>
    <row r="29" spans="1:14">
      <c r="F29" s="190"/>
    </row>
    <row r="30" spans="1:14">
      <c r="B30" s="412"/>
      <c r="C30" s="412"/>
      <c r="F30" s="196"/>
      <c r="G30" s="413"/>
      <c r="H30" s="413"/>
      <c r="I30" s="413"/>
      <c r="J30" s="413"/>
    </row>
    <row r="31" spans="1:14" s="49" customFormat="1" ht="15.75">
      <c r="B31" s="216" t="s">
        <v>36</v>
      </c>
      <c r="C31" s="50"/>
      <c r="D31" s="50"/>
      <c r="E31" s="219" t="s">
        <v>39</v>
      </c>
      <c r="F31" s="51"/>
      <c r="G31" s="50"/>
      <c r="H31" s="50"/>
      <c r="I31" s="50"/>
      <c r="J31" s="220" t="s">
        <v>109</v>
      </c>
      <c r="K31" s="221"/>
    </row>
    <row r="32" spans="1:14">
      <c r="B32" s="217"/>
      <c r="C32" s="199"/>
      <c r="D32" s="199"/>
      <c r="E32" s="199"/>
      <c r="F32" s="199"/>
      <c r="G32" s="199"/>
      <c r="H32" s="199"/>
      <c r="I32" s="199"/>
      <c r="J32" s="222"/>
      <c r="K32" s="222"/>
    </row>
    <row r="33" spans="1:11">
      <c r="B33" s="217"/>
      <c r="C33" s="199"/>
      <c r="D33" s="199"/>
      <c r="E33" s="199"/>
      <c r="F33" s="199"/>
      <c r="G33" s="199"/>
      <c r="H33" s="199"/>
      <c r="I33" s="199"/>
      <c r="J33" s="222"/>
      <c r="K33" s="222"/>
    </row>
    <row r="34" spans="1:11">
      <c r="B34" s="217"/>
      <c r="C34" s="199"/>
      <c r="D34" s="199"/>
      <c r="E34" s="199"/>
      <c r="F34" s="199"/>
      <c r="G34" s="199"/>
      <c r="H34" s="199"/>
      <c r="I34" s="199"/>
      <c r="J34" s="222"/>
      <c r="K34" s="222"/>
    </row>
    <row r="35" spans="1:11">
      <c r="A35" s="190"/>
      <c r="B35" s="218"/>
      <c r="C35" s="201"/>
      <c r="D35" s="201"/>
      <c r="E35" s="201"/>
      <c r="G35" s="201"/>
      <c r="H35" s="199"/>
      <c r="I35" s="199"/>
      <c r="J35" s="222"/>
      <c r="K35" s="222"/>
    </row>
    <row r="36" spans="1:11">
      <c r="A36" s="190"/>
      <c r="B36" s="218"/>
      <c r="C36" s="201"/>
      <c r="D36" s="201"/>
      <c r="E36" s="201"/>
      <c r="G36" s="201"/>
      <c r="H36" s="199"/>
      <c r="I36" s="199"/>
      <c r="J36" s="222" t="s">
        <v>78</v>
      </c>
      <c r="K36" s="222"/>
    </row>
    <row r="37" spans="1:11">
      <c r="A37" s="190"/>
      <c r="B37" s="218" t="s">
        <v>110</v>
      </c>
      <c r="C37" s="201"/>
      <c r="D37" s="201"/>
      <c r="E37" s="201"/>
      <c r="G37" s="201"/>
      <c r="H37" s="199"/>
      <c r="I37" s="199"/>
      <c r="J37" s="199"/>
      <c r="K37"/>
    </row>
    <row r="38" spans="1:11">
      <c r="A38" s="190"/>
      <c r="B38" s="200"/>
      <c r="C38" s="201"/>
      <c r="D38" s="201"/>
      <c r="E38" s="201"/>
      <c r="G38" s="202"/>
    </row>
    <row r="39" spans="1:11">
      <c r="A39" s="190"/>
      <c r="B39" s="190"/>
      <c r="C39" s="201"/>
      <c r="D39" s="201"/>
      <c r="E39" s="201"/>
      <c r="G39" s="202"/>
    </row>
    <row r="40" spans="1:11">
      <c r="A40" s="190"/>
      <c r="B40" s="190"/>
      <c r="C40" s="201"/>
      <c r="D40" s="201"/>
      <c r="E40" s="201"/>
      <c r="F40" s="190"/>
      <c r="G40" s="202"/>
    </row>
    <row r="41" spans="1:11">
      <c r="C41" s="201"/>
      <c r="D41" s="201"/>
      <c r="E41" s="201"/>
    </row>
  </sheetData>
  <mergeCells count="15">
    <mergeCell ref="A4:K4"/>
    <mergeCell ref="E9:I9"/>
    <mergeCell ref="E10:I10"/>
    <mergeCell ref="A21:K21"/>
    <mergeCell ref="B28:D28"/>
    <mergeCell ref="A19:J19"/>
    <mergeCell ref="A20:K20"/>
    <mergeCell ref="B23:D23"/>
    <mergeCell ref="A5:K5"/>
    <mergeCell ref="B30:C30"/>
    <mergeCell ref="G30:J30"/>
    <mergeCell ref="B24:D24"/>
    <mergeCell ref="B25:D25"/>
    <mergeCell ref="B26:D26"/>
    <mergeCell ref="B27:D27"/>
  </mergeCells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WWG28"/>
  <sheetViews>
    <sheetView workbookViewId="0">
      <pane xSplit="5" ySplit="10" topLeftCell="X11" activePane="bottomRight" state="frozen"/>
      <selection pane="topRight" activeCell="F1" sqref="F1"/>
      <selection pane="bottomLeft" activeCell="A12" sqref="A12"/>
      <selection pane="bottomRight" activeCell="AN15" sqref="AN15"/>
    </sheetView>
  </sheetViews>
  <sheetFormatPr defaultColWidth="9" defaultRowHeight="15"/>
  <cols>
    <col min="1" max="1" width="5.140625" style="69" customWidth="1"/>
    <col min="2" max="2" width="9.140625" style="69" customWidth="1"/>
    <col min="3" max="3" width="26.28515625" style="69" customWidth="1"/>
    <col min="4" max="4" width="10.5703125" style="69" customWidth="1"/>
    <col min="5" max="5" width="12.7109375" style="70" customWidth="1"/>
    <col min="6" max="6" width="9.140625" style="70" customWidth="1"/>
    <col min="7" max="7" width="10.42578125" style="70" customWidth="1"/>
    <col min="8" max="8" width="8.5703125" style="70" customWidth="1"/>
    <col min="9" max="9" width="10.140625" style="70" customWidth="1"/>
    <col min="10" max="10" width="6.7109375" style="70" customWidth="1"/>
    <col min="11" max="11" width="11.5703125" style="70" customWidth="1"/>
    <col min="12" max="12" width="12" style="70" customWidth="1"/>
    <col min="13" max="13" width="11.28515625" style="70" customWidth="1"/>
    <col min="14" max="14" width="11.42578125" style="70" customWidth="1"/>
    <col min="15" max="15" width="12.42578125" style="70" customWidth="1"/>
    <col min="16" max="16" width="13.28515625" style="71" customWidth="1"/>
    <col min="17" max="18" width="11.85546875" style="71" customWidth="1"/>
    <col min="19" max="19" width="11.140625" style="71" customWidth="1"/>
    <col min="20" max="20" width="13.28515625" style="71" customWidth="1"/>
    <col min="21" max="24" width="10.7109375" style="71" customWidth="1"/>
    <col min="25" max="25" width="11.85546875" style="71" customWidth="1"/>
    <col min="26" max="26" width="12.42578125" style="71" customWidth="1"/>
    <col min="27" max="28" width="12" style="69" customWidth="1"/>
    <col min="29" max="30" width="11.7109375" style="69" customWidth="1"/>
    <col min="31" max="31" width="9.85546875" style="69" customWidth="1"/>
    <col min="32" max="32" width="13" style="72" customWidth="1"/>
    <col min="33" max="33" width="9.7109375" style="72" customWidth="1"/>
    <col min="34" max="34" width="14" style="69" customWidth="1"/>
    <col min="35" max="35" width="13.5703125" style="69" customWidth="1"/>
    <col min="36" max="36" width="17.28515625" style="69" customWidth="1"/>
    <col min="37" max="266" width="9" style="69"/>
    <col min="267" max="267" width="6.85546875" style="69" customWidth="1"/>
    <col min="268" max="268" width="28.42578125" style="69" customWidth="1"/>
    <col min="269" max="269" width="7.7109375" style="69" customWidth="1"/>
    <col min="270" max="270" width="14.140625" style="69" customWidth="1"/>
    <col min="271" max="271" width="12" style="69" customWidth="1"/>
    <col min="272" max="272" width="13.7109375" style="69" customWidth="1"/>
    <col min="273" max="273" width="6.7109375" style="69" customWidth="1"/>
    <col min="274" max="274" width="11.7109375" style="69" customWidth="1"/>
    <col min="275" max="275" width="12.140625" style="69" customWidth="1"/>
    <col min="276" max="276" width="11.85546875" style="69" customWidth="1"/>
    <col min="277" max="277" width="13.85546875" style="69" customWidth="1"/>
    <col min="278" max="278" width="11.42578125" style="69" customWidth="1"/>
    <col min="279" max="279" width="12.7109375" style="69" customWidth="1"/>
    <col min="280" max="280" width="12.5703125" style="69" customWidth="1"/>
    <col min="281" max="281" width="9" style="69" hidden="1" customWidth="1"/>
    <col min="282" max="283" width="12.42578125" style="69" customWidth="1"/>
    <col min="284" max="284" width="12" style="69" customWidth="1"/>
    <col min="285" max="285" width="10.28515625" style="69" customWidth="1"/>
    <col min="286" max="286" width="14" style="69" customWidth="1"/>
    <col min="287" max="288" width="10.28515625" style="69" customWidth="1"/>
    <col min="289" max="289" width="12.7109375" style="69" customWidth="1"/>
    <col min="290" max="290" width="16.28515625" style="69" customWidth="1"/>
    <col min="291" max="522" width="9" style="69"/>
    <col min="523" max="523" width="6.85546875" style="69" customWidth="1"/>
    <col min="524" max="524" width="28.42578125" style="69" customWidth="1"/>
    <col min="525" max="525" width="7.7109375" style="69" customWidth="1"/>
    <col min="526" max="526" width="14.140625" style="69" customWidth="1"/>
    <col min="527" max="527" width="12" style="69" customWidth="1"/>
    <col min="528" max="528" width="13.7109375" style="69" customWidth="1"/>
    <col min="529" max="529" width="6.7109375" style="69" customWidth="1"/>
    <col min="530" max="530" width="11.7109375" style="69" customWidth="1"/>
    <col min="531" max="531" width="12.140625" style="69" customWidth="1"/>
    <col min="532" max="532" width="11.85546875" style="69" customWidth="1"/>
    <col min="533" max="533" width="13.85546875" style="69" customWidth="1"/>
    <col min="534" max="534" width="11.42578125" style="69" customWidth="1"/>
    <col min="535" max="535" width="12.7109375" style="69" customWidth="1"/>
    <col min="536" max="536" width="12.5703125" style="69" customWidth="1"/>
    <col min="537" max="537" width="9" style="69" hidden="1" customWidth="1"/>
    <col min="538" max="539" width="12.42578125" style="69" customWidth="1"/>
    <col min="540" max="540" width="12" style="69" customWidth="1"/>
    <col min="541" max="541" width="10.28515625" style="69" customWidth="1"/>
    <col min="542" max="542" width="14" style="69" customWidth="1"/>
    <col min="543" max="544" width="10.28515625" style="69" customWidth="1"/>
    <col min="545" max="545" width="12.7109375" style="69" customWidth="1"/>
    <col min="546" max="546" width="16.28515625" style="69" customWidth="1"/>
    <col min="547" max="778" width="9" style="69"/>
    <col min="779" max="779" width="6.85546875" style="69" customWidth="1"/>
    <col min="780" max="780" width="28.42578125" style="69" customWidth="1"/>
    <col min="781" max="781" width="7.7109375" style="69" customWidth="1"/>
    <col min="782" max="782" width="14.140625" style="69" customWidth="1"/>
    <col min="783" max="783" width="12" style="69" customWidth="1"/>
    <col min="784" max="784" width="13.7109375" style="69" customWidth="1"/>
    <col min="785" max="785" width="6.7109375" style="69" customWidth="1"/>
    <col min="786" max="786" width="11.7109375" style="69" customWidth="1"/>
    <col min="787" max="787" width="12.140625" style="69" customWidth="1"/>
    <col min="788" max="788" width="11.85546875" style="69" customWidth="1"/>
    <col min="789" max="789" width="13.85546875" style="69" customWidth="1"/>
    <col min="790" max="790" width="11.42578125" style="69" customWidth="1"/>
    <col min="791" max="791" width="12.7109375" style="69" customWidth="1"/>
    <col min="792" max="792" width="12.5703125" style="69" customWidth="1"/>
    <col min="793" max="793" width="9" style="69" hidden="1" customWidth="1"/>
    <col min="794" max="795" width="12.42578125" style="69" customWidth="1"/>
    <col min="796" max="796" width="12" style="69" customWidth="1"/>
    <col min="797" max="797" width="10.28515625" style="69" customWidth="1"/>
    <col min="798" max="798" width="14" style="69" customWidth="1"/>
    <col min="799" max="800" width="10.28515625" style="69" customWidth="1"/>
    <col min="801" max="801" width="12.7109375" style="69" customWidth="1"/>
    <col min="802" max="802" width="16.28515625" style="69" customWidth="1"/>
    <col min="803" max="1034" width="9" style="69"/>
    <col min="1035" max="1035" width="6.85546875" style="69" customWidth="1"/>
    <col min="1036" max="1036" width="28.42578125" style="69" customWidth="1"/>
    <col min="1037" max="1037" width="7.7109375" style="69" customWidth="1"/>
    <col min="1038" max="1038" width="14.140625" style="69" customWidth="1"/>
    <col min="1039" max="1039" width="12" style="69" customWidth="1"/>
    <col min="1040" max="1040" width="13.7109375" style="69" customWidth="1"/>
    <col min="1041" max="1041" width="6.7109375" style="69" customWidth="1"/>
    <col min="1042" max="1042" width="11.7109375" style="69" customWidth="1"/>
    <col min="1043" max="1043" width="12.140625" style="69" customWidth="1"/>
    <col min="1044" max="1044" width="11.85546875" style="69" customWidth="1"/>
    <col min="1045" max="1045" width="13.85546875" style="69" customWidth="1"/>
    <col min="1046" max="1046" width="11.42578125" style="69" customWidth="1"/>
    <col min="1047" max="1047" width="12.7109375" style="69" customWidth="1"/>
    <col min="1048" max="1048" width="12.5703125" style="69" customWidth="1"/>
    <col min="1049" max="1049" width="9" style="69" hidden="1" customWidth="1"/>
    <col min="1050" max="1051" width="12.42578125" style="69" customWidth="1"/>
    <col min="1052" max="1052" width="12" style="69" customWidth="1"/>
    <col min="1053" max="1053" width="10.28515625" style="69" customWidth="1"/>
    <col min="1054" max="1054" width="14" style="69" customWidth="1"/>
    <col min="1055" max="1056" width="10.28515625" style="69" customWidth="1"/>
    <col min="1057" max="1057" width="12.7109375" style="69" customWidth="1"/>
    <col min="1058" max="1058" width="16.28515625" style="69" customWidth="1"/>
    <col min="1059" max="1290" width="9" style="69"/>
    <col min="1291" max="1291" width="6.85546875" style="69" customWidth="1"/>
    <col min="1292" max="1292" width="28.42578125" style="69" customWidth="1"/>
    <col min="1293" max="1293" width="7.7109375" style="69" customWidth="1"/>
    <col min="1294" max="1294" width="14.140625" style="69" customWidth="1"/>
    <col min="1295" max="1295" width="12" style="69" customWidth="1"/>
    <col min="1296" max="1296" width="13.7109375" style="69" customWidth="1"/>
    <col min="1297" max="1297" width="6.7109375" style="69" customWidth="1"/>
    <col min="1298" max="1298" width="11.7109375" style="69" customWidth="1"/>
    <col min="1299" max="1299" width="12.140625" style="69" customWidth="1"/>
    <col min="1300" max="1300" width="11.85546875" style="69" customWidth="1"/>
    <col min="1301" max="1301" width="13.85546875" style="69" customWidth="1"/>
    <col min="1302" max="1302" width="11.42578125" style="69" customWidth="1"/>
    <col min="1303" max="1303" width="12.7109375" style="69" customWidth="1"/>
    <col min="1304" max="1304" width="12.5703125" style="69" customWidth="1"/>
    <col min="1305" max="1305" width="9" style="69" hidden="1" customWidth="1"/>
    <col min="1306" max="1307" width="12.42578125" style="69" customWidth="1"/>
    <col min="1308" max="1308" width="12" style="69" customWidth="1"/>
    <col min="1309" max="1309" width="10.28515625" style="69" customWidth="1"/>
    <col min="1310" max="1310" width="14" style="69" customWidth="1"/>
    <col min="1311" max="1312" width="10.28515625" style="69" customWidth="1"/>
    <col min="1313" max="1313" width="12.7109375" style="69" customWidth="1"/>
    <col min="1314" max="1314" width="16.28515625" style="69" customWidth="1"/>
    <col min="1315" max="1546" width="9" style="69"/>
    <col min="1547" max="1547" width="6.85546875" style="69" customWidth="1"/>
    <col min="1548" max="1548" width="28.42578125" style="69" customWidth="1"/>
    <col min="1549" max="1549" width="7.7109375" style="69" customWidth="1"/>
    <col min="1550" max="1550" width="14.140625" style="69" customWidth="1"/>
    <col min="1551" max="1551" width="12" style="69" customWidth="1"/>
    <col min="1552" max="1552" width="13.7109375" style="69" customWidth="1"/>
    <col min="1553" max="1553" width="6.7109375" style="69" customWidth="1"/>
    <col min="1554" max="1554" width="11.7109375" style="69" customWidth="1"/>
    <col min="1555" max="1555" width="12.140625" style="69" customWidth="1"/>
    <col min="1556" max="1556" width="11.85546875" style="69" customWidth="1"/>
    <col min="1557" max="1557" width="13.85546875" style="69" customWidth="1"/>
    <col min="1558" max="1558" width="11.42578125" style="69" customWidth="1"/>
    <col min="1559" max="1559" width="12.7109375" style="69" customWidth="1"/>
    <col min="1560" max="1560" width="12.5703125" style="69" customWidth="1"/>
    <col min="1561" max="1561" width="9" style="69" hidden="1" customWidth="1"/>
    <col min="1562" max="1563" width="12.42578125" style="69" customWidth="1"/>
    <col min="1564" max="1564" width="12" style="69" customWidth="1"/>
    <col min="1565" max="1565" width="10.28515625" style="69" customWidth="1"/>
    <col min="1566" max="1566" width="14" style="69" customWidth="1"/>
    <col min="1567" max="1568" width="10.28515625" style="69" customWidth="1"/>
    <col min="1569" max="1569" width="12.7109375" style="69" customWidth="1"/>
    <col min="1570" max="1570" width="16.28515625" style="69" customWidth="1"/>
    <col min="1571" max="1802" width="9" style="69"/>
    <col min="1803" max="1803" width="6.85546875" style="69" customWidth="1"/>
    <col min="1804" max="1804" width="28.42578125" style="69" customWidth="1"/>
    <col min="1805" max="1805" width="7.7109375" style="69" customWidth="1"/>
    <col min="1806" max="1806" width="14.140625" style="69" customWidth="1"/>
    <col min="1807" max="1807" width="12" style="69" customWidth="1"/>
    <col min="1808" max="1808" width="13.7109375" style="69" customWidth="1"/>
    <col min="1809" max="1809" width="6.7109375" style="69" customWidth="1"/>
    <col min="1810" max="1810" width="11.7109375" style="69" customWidth="1"/>
    <col min="1811" max="1811" width="12.140625" style="69" customWidth="1"/>
    <col min="1812" max="1812" width="11.85546875" style="69" customWidth="1"/>
    <col min="1813" max="1813" width="13.85546875" style="69" customWidth="1"/>
    <col min="1814" max="1814" width="11.42578125" style="69" customWidth="1"/>
    <col min="1815" max="1815" width="12.7109375" style="69" customWidth="1"/>
    <col min="1816" max="1816" width="12.5703125" style="69" customWidth="1"/>
    <col min="1817" max="1817" width="9" style="69" hidden="1" customWidth="1"/>
    <col min="1818" max="1819" width="12.42578125" style="69" customWidth="1"/>
    <col min="1820" max="1820" width="12" style="69" customWidth="1"/>
    <col min="1821" max="1821" width="10.28515625" style="69" customWidth="1"/>
    <col min="1822" max="1822" width="14" style="69" customWidth="1"/>
    <col min="1823" max="1824" width="10.28515625" style="69" customWidth="1"/>
    <col min="1825" max="1825" width="12.7109375" style="69" customWidth="1"/>
    <col min="1826" max="1826" width="16.28515625" style="69" customWidth="1"/>
    <col min="1827" max="2058" width="9" style="69"/>
    <col min="2059" max="2059" width="6.85546875" style="69" customWidth="1"/>
    <col min="2060" max="2060" width="28.42578125" style="69" customWidth="1"/>
    <col min="2061" max="2061" width="7.7109375" style="69" customWidth="1"/>
    <col min="2062" max="2062" width="14.140625" style="69" customWidth="1"/>
    <col min="2063" max="2063" width="12" style="69" customWidth="1"/>
    <col min="2064" max="2064" width="13.7109375" style="69" customWidth="1"/>
    <col min="2065" max="2065" width="6.7109375" style="69" customWidth="1"/>
    <col min="2066" max="2066" width="11.7109375" style="69" customWidth="1"/>
    <col min="2067" max="2067" width="12.140625" style="69" customWidth="1"/>
    <col min="2068" max="2068" width="11.85546875" style="69" customWidth="1"/>
    <col min="2069" max="2069" width="13.85546875" style="69" customWidth="1"/>
    <col min="2070" max="2070" width="11.42578125" style="69" customWidth="1"/>
    <col min="2071" max="2071" width="12.7109375" style="69" customWidth="1"/>
    <col min="2072" max="2072" width="12.5703125" style="69" customWidth="1"/>
    <col min="2073" max="2073" width="9" style="69" hidden="1" customWidth="1"/>
    <col min="2074" max="2075" width="12.42578125" style="69" customWidth="1"/>
    <col min="2076" max="2076" width="12" style="69" customWidth="1"/>
    <col min="2077" max="2077" width="10.28515625" style="69" customWidth="1"/>
    <col min="2078" max="2078" width="14" style="69" customWidth="1"/>
    <col min="2079" max="2080" width="10.28515625" style="69" customWidth="1"/>
    <col min="2081" max="2081" width="12.7109375" style="69" customWidth="1"/>
    <col min="2082" max="2082" width="16.28515625" style="69" customWidth="1"/>
    <col min="2083" max="2314" width="9" style="69"/>
    <col min="2315" max="2315" width="6.85546875" style="69" customWidth="1"/>
    <col min="2316" max="2316" width="28.42578125" style="69" customWidth="1"/>
    <col min="2317" max="2317" width="7.7109375" style="69" customWidth="1"/>
    <col min="2318" max="2318" width="14.140625" style="69" customWidth="1"/>
    <col min="2319" max="2319" width="12" style="69" customWidth="1"/>
    <col min="2320" max="2320" width="13.7109375" style="69" customWidth="1"/>
    <col min="2321" max="2321" width="6.7109375" style="69" customWidth="1"/>
    <col min="2322" max="2322" width="11.7109375" style="69" customWidth="1"/>
    <col min="2323" max="2323" width="12.140625" style="69" customWidth="1"/>
    <col min="2324" max="2324" width="11.85546875" style="69" customWidth="1"/>
    <col min="2325" max="2325" width="13.85546875" style="69" customWidth="1"/>
    <col min="2326" max="2326" width="11.42578125" style="69" customWidth="1"/>
    <col min="2327" max="2327" width="12.7109375" style="69" customWidth="1"/>
    <col min="2328" max="2328" width="12.5703125" style="69" customWidth="1"/>
    <col min="2329" max="2329" width="9" style="69" hidden="1" customWidth="1"/>
    <col min="2330" max="2331" width="12.42578125" style="69" customWidth="1"/>
    <col min="2332" max="2332" width="12" style="69" customWidth="1"/>
    <col min="2333" max="2333" width="10.28515625" style="69" customWidth="1"/>
    <col min="2334" max="2334" width="14" style="69" customWidth="1"/>
    <col min="2335" max="2336" width="10.28515625" style="69" customWidth="1"/>
    <col min="2337" max="2337" width="12.7109375" style="69" customWidth="1"/>
    <col min="2338" max="2338" width="16.28515625" style="69" customWidth="1"/>
    <col min="2339" max="2570" width="9" style="69"/>
    <col min="2571" max="2571" width="6.85546875" style="69" customWidth="1"/>
    <col min="2572" max="2572" width="28.42578125" style="69" customWidth="1"/>
    <col min="2573" max="2573" width="7.7109375" style="69" customWidth="1"/>
    <col min="2574" max="2574" width="14.140625" style="69" customWidth="1"/>
    <col min="2575" max="2575" width="12" style="69" customWidth="1"/>
    <col min="2576" max="2576" width="13.7109375" style="69" customWidth="1"/>
    <col min="2577" max="2577" width="6.7109375" style="69" customWidth="1"/>
    <col min="2578" max="2578" width="11.7109375" style="69" customWidth="1"/>
    <col min="2579" max="2579" width="12.140625" style="69" customWidth="1"/>
    <col min="2580" max="2580" width="11.85546875" style="69" customWidth="1"/>
    <col min="2581" max="2581" width="13.85546875" style="69" customWidth="1"/>
    <col min="2582" max="2582" width="11.42578125" style="69" customWidth="1"/>
    <col min="2583" max="2583" width="12.7109375" style="69" customWidth="1"/>
    <col min="2584" max="2584" width="12.5703125" style="69" customWidth="1"/>
    <col min="2585" max="2585" width="9" style="69" hidden="1" customWidth="1"/>
    <col min="2586" max="2587" width="12.42578125" style="69" customWidth="1"/>
    <col min="2588" max="2588" width="12" style="69" customWidth="1"/>
    <col min="2589" max="2589" width="10.28515625" style="69" customWidth="1"/>
    <col min="2590" max="2590" width="14" style="69" customWidth="1"/>
    <col min="2591" max="2592" width="10.28515625" style="69" customWidth="1"/>
    <col min="2593" max="2593" width="12.7109375" style="69" customWidth="1"/>
    <col min="2594" max="2594" width="16.28515625" style="69" customWidth="1"/>
    <col min="2595" max="2826" width="9" style="69"/>
    <col min="2827" max="2827" width="6.85546875" style="69" customWidth="1"/>
    <col min="2828" max="2828" width="28.42578125" style="69" customWidth="1"/>
    <col min="2829" max="2829" width="7.7109375" style="69" customWidth="1"/>
    <col min="2830" max="2830" width="14.140625" style="69" customWidth="1"/>
    <col min="2831" max="2831" width="12" style="69" customWidth="1"/>
    <col min="2832" max="2832" width="13.7109375" style="69" customWidth="1"/>
    <col min="2833" max="2833" width="6.7109375" style="69" customWidth="1"/>
    <col min="2834" max="2834" width="11.7109375" style="69" customWidth="1"/>
    <col min="2835" max="2835" width="12.140625" style="69" customWidth="1"/>
    <col min="2836" max="2836" width="11.85546875" style="69" customWidth="1"/>
    <col min="2837" max="2837" width="13.85546875" style="69" customWidth="1"/>
    <col min="2838" max="2838" width="11.42578125" style="69" customWidth="1"/>
    <col min="2839" max="2839" width="12.7109375" style="69" customWidth="1"/>
    <col min="2840" max="2840" width="12.5703125" style="69" customWidth="1"/>
    <col min="2841" max="2841" width="9" style="69" hidden="1" customWidth="1"/>
    <col min="2842" max="2843" width="12.42578125" style="69" customWidth="1"/>
    <col min="2844" max="2844" width="12" style="69" customWidth="1"/>
    <col min="2845" max="2845" width="10.28515625" style="69" customWidth="1"/>
    <col min="2846" max="2846" width="14" style="69" customWidth="1"/>
    <col min="2847" max="2848" width="10.28515625" style="69" customWidth="1"/>
    <col min="2849" max="2849" width="12.7109375" style="69" customWidth="1"/>
    <col min="2850" max="2850" width="16.28515625" style="69" customWidth="1"/>
    <col min="2851" max="3082" width="9" style="69"/>
    <col min="3083" max="3083" width="6.85546875" style="69" customWidth="1"/>
    <col min="3084" max="3084" width="28.42578125" style="69" customWidth="1"/>
    <col min="3085" max="3085" width="7.7109375" style="69" customWidth="1"/>
    <col min="3086" max="3086" width="14.140625" style="69" customWidth="1"/>
    <col min="3087" max="3087" width="12" style="69" customWidth="1"/>
    <col min="3088" max="3088" width="13.7109375" style="69" customWidth="1"/>
    <col min="3089" max="3089" width="6.7109375" style="69" customWidth="1"/>
    <col min="3090" max="3090" width="11.7109375" style="69" customWidth="1"/>
    <col min="3091" max="3091" width="12.140625" style="69" customWidth="1"/>
    <col min="3092" max="3092" width="11.85546875" style="69" customWidth="1"/>
    <col min="3093" max="3093" width="13.85546875" style="69" customWidth="1"/>
    <col min="3094" max="3094" width="11.42578125" style="69" customWidth="1"/>
    <col min="3095" max="3095" width="12.7109375" style="69" customWidth="1"/>
    <col min="3096" max="3096" width="12.5703125" style="69" customWidth="1"/>
    <col min="3097" max="3097" width="9" style="69" hidden="1" customWidth="1"/>
    <col min="3098" max="3099" width="12.42578125" style="69" customWidth="1"/>
    <col min="3100" max="3100" width="12" style="69" customWidth="1"/>
    <col min="3101" max="3101" width="10.28515625" style="69" customWidth="1"/>
    <col min="3102" max="3102" width="14" style="69" customWidth="1"/>
    <col min="3103" max="3104" width="10.28515625" style="69" customWidth="1"/>
    <col min="3105" max="3105" width="12.7109375" style="69" customWidth="1"/>
    <col min="3106" max="3106" width="16.28515625" style="69" customWidth="1"/>
    <col min="3107" max="3338" width="9" style="69"/>
    <col min="3339" max="3339" width="6.85546875" style="69" customWidth="1"/>
    <col min="3340" max="3340" width="28.42578125" style="69" customWidth="1"/>
    <col min="3341" max="3341" width="7.7109375" style="69" customWidth="1"/>
    <col min="3342" max="3342" width="14.140625" style="69" customWidth="1"/>
    <col min="3343" max="3343" width="12" style="69" customWidth="1"/>
    <col min="3344" max="3344" width="13.7109375" style="69" customWidth="1"/>
    <col min="3345" max="3345" width="6.7109375" style="69" customWidth="1"/>
    <col min="3346" max="3346" width="11.7109375" style="69" customWidth="1"/>
    <col min="3347" max="3347" width="12.140625" style="69" customWidth="1"/>
    <col min="3348" max="3348" width="11.85546875" style="69" customWidth="1"/>
    <col min="3349" max="3349" width="13.85546875" style="69" customWidth="1"/>
    <col min="3350" max="3350" width="11.42578125" style="69" customWidth="1"/>
    <col min="3351" max="3351" width="12.7109375" style="69" customWidth="1"/>
    <col min="3352" max="3352" width="12.5703125" style="69" customWidth="1"/>
    <col min="3353" max="3353" width="9" style="69" hidden="1" customWidth="1"/>
    <col min="3354" max="3355" width="12.42578125" style="69" customWidth="1"/>
    <col min="3356" max="3356" width="12" style="69" customWidth="1"/>
    <col min="3357" max="3357" width="10.28515625" style="69" customWidth="1"/>
    <col min="3358" max="3358" width="14" style="69" customWidth="1"/>
    <col min="3359" max="3360" width="10.28515625" style="69" customWidth="1"/>
    <col min="3361" max="3361" width="12.7109375" style="69" customWidth="1"/>
    <col min="3362" max="3362" width="16.28515625" style="69" customWidth="1"/>
    <col min="3363" max="3594" width="9" style="69"/>
    <col min="3595" max="3595" width="6.85546875" style="69" customWidth="1"/>
    <col min="3596" max="3596" width="28.42578125" style="69" customWidth="1"/>
    <col min="3597" max="3597" width="7.7109375" style="69" customWidth="1"/>
    <col min="3598" max="3598" width="14.140625" style="69" customWidth="1"/>
    <col min="3599" max="3599" width="12" style="69" customWidth="1"/>
    <col min="3600" max="3600" width="13.7109375" style="69" customWidth="1"/>
    <col min="3601" max="3601" width="6.7109375" style="69" customWidth="1"/>
    <col min="3602" max="3602" width="11.7109375" style="69" customWidth="1"/>
    <col min="3603" max="3603" width="12.140625" style="69" customWidth="1"/>
    <col min="3604" max="3604" width="11.85546875" style="69" customWidth="1"/>
    <col min="3605" max="3605" width="13.85546875" style="69" customWidth="1"/>
    <col min="3606" max="3606" width="11.42578125" style="69" customWidth="1"/>
    <col min="3607" max="3607" width="12.7109375" style="69" customWidth="1"/>
    <col min="3608" max="3608" width="12.5703125" style="69" customWidth="1"/>
    <col min="3609" max="3609" width="9" style="69" hidden="1" customWidth="1"/>
    <col min="3610" max="3611" width="12.42578125" style="69" customWidth="1"/>
    <col min="3612" max="3612" width="12" style="69" customWidth="1"/>
    <col min="3613" max="3613" width="10.28515625" style="69" customWidth="1"/>
    <col min="3614" max="3614" width="14" style="69" customWidth="1"/>
    <col min="3615" max="3616" width="10.28515625" style="69" customWidth="1"/>
    <col min="3617" max="3617" width="12.7109375" style="69" customWidth="1"/>
    <col min="3618" max="3618" width="16.28515625" style="69" customWidth="1"/>
    <col min="3619" max="3850" width="9" style="69"/>
    <col min="3851" max="3851" width="6.85546875" style="69" customWidth="1"/>
    <col min="3852" max="3852" width="28.42578125" style="69" customWidth="1"/>
    <col min="3853" max="3853" width="7.7109375" style="69" customWidth="1"/>
    <col min="3854" max="3854" width="14.140625" style="69" customWidth="1"/>
    <col min="3855" max="3855" width="12" style="69" customWidth="1"/>
    <col min="3856" max="3856" width="13.7109375" style="69" customWidth="1"/>
    <col min="3857" max="3857" width="6.7109375" style="69" customWidth="1"/>
    <col min="3858" max="3858" width="11.7109375" style="69" customWidth="1"/>
    <col min="3859" max="3859" width="12.140625" style="69" customWidth="1"/>
    <col min="3860" max="3860" width="11.85546875" style="69" customWidth="1"/>
    <col min="3861" max="3861" width="13.85546875" style="69" customWidth="1"/>
    <col min="3862" max="3862" width="11.42578125" style="69" customWidth="1"/>
    <col min="3863" max="3863" width="12.7109375" style="69" customWidth="1"/>
    <col min="3864" max="3864" width="12.5703125" style="69" customWidth="1"/>
    <col min="3865" max="3865" width="9" style="69" hidden="1" customWidth="1"/>
    <col min="3866" max="3867" width="12.42578125" style="69" customWidth="1"/>
    <col min="3868" max="3868" width="12" style="69" customWidth="1"/>
    <col min="3869" max="3869" width="10.28515625" style="69" customWidth="1"/>
    <col min="3870" max="3870" width="14" style="69" customWidth="1"/>
    <col min="3871" max="3872" width="10.28515625" style="69" customWidth="1"/>
    <col min="3873" max="3873" width="12.7109375" style="69" customWidth="1"/>
    <col min="3874" max="3874" width="16.28515625" style="69" customWidth="1"/>
    <col min="3875" max="4106" width="9" style="69"/>
    <col min="4107" max="4107" width="6.85546875" style="69" customWidth="1"/>
    <col min="4108" max="4108" width="28.42578125" style="69" customWidth="1"/>
    <col min="4109" max="4109" width="7.7109375" style="69" customWidth="1"/>
    <col min="4110" max="4110" width="14.140625" style="69" customWidth="1"/>
    <col min="4111" max="4111" width="12" style="69" customWidth="1"/>
    <col min="4112" max="4112" width="13.7109375" style="69" customWidth="1"/>
    <col min="4113" max="4113" width="6.7109375" style="69" customWidth="1"/>
    <col min="4114" max="4114" width="11.7109375" style="69" customWidth="1"/>
    <col min="4115" max="4115" width="12.140625" style="69" customWidth="1"/>
    <col min="4116" max="4116" width="11.85546875" style="69" customWidth="1"/>
    <col min="4117" max="4117" width="13.85546875" style="69" customWidth="1"/>
    <col min="4118" max="4118" width="11.42578125" style="69" customWidth="1"/>
    <col min="4119" max="4119" width="12.7109375" style="69" customWidth="1"/>
    <col min="4120" max="4120" width="12.5703125" style="69" customWidth="1"/>
    <col min="4121" max="4121" width="9" style="69" hidden="1" customWidth="1"/>
    <col min="4122" max="4123" width="12.42578125" style="69" customWidth="1"/>
    <col min="4124" max="4124" width="12" style="69" customWidth="1"/>
    <col min="4125" max="4125" width="10.28515625" style="69" customWidth="1"/>
    <col min="4126" max="4126" width="14" style="69" customWidth="1"/>
    <col min="4127" max="4128" width="10.28515625" style="69" customWidth="1"/>
    <col min="4129" max="4129" width="12.7109375" style="69" customWidth="1"/>
    <col min="4130" max="4130" width="16.28515625" style="69" customWidth="1"/>
    <col min="4131" max="4362" width="9" style="69"/>
    <col min="4363" max="4363" width="6.85546875" style="69" customWidth="1"/>
    <col min="4364" max="4364" width="28.42578125" style="69" customWidth="1"/>
    <col min="4365" max="4365" width="7.7109375" style="69" customWidth="1"/>
    <col min="4366" max="4366" width="14.140625" style="69" customWidth="1"/>
    <col min="4367" max="4367" width="12" style="69" customWidth="1"/>
    <col min="4368" max="4368" width="13.7109375" style="69" customWidth="1"/>
    <col min="4369" max="4369" width="6.7109375" style="69" customWidth="1"/>
    <col min="4370" max="4370" width="11.7109375" style="69" customWidth="1"/>
    <col min="4371" max="4371" width="12.140625" style="69" customWidth="1"/>
    <col min="4372" max="4372" width="11.85546875" style="69" customWidth="1"/>
    <col min="4373" max="4373" width="13.85546875" style="69" customWidth="1"/>
    <col min="4374" max="4374" width="11.42578125" style="69" customWidth="1"/>
    <col min="4375" max="4375" width="12.7109375" style="69" customWidth="1"/>
    <col min="4376" max="4376" width="12.5703125" style="69" customWidth="1"/>
    <col min="4377" max="4377" width="9" style="69" hidden="1" customWidth="1"/>
    <col min="4378" max="4379" width="12.42578125" style="69" customWidth="1"/>
    <col min="4380" max="4380" width="12" style="69" customWidth="1"/>
    <col min="4381" max="4381" width="10.28515625" style="69" customWidth="1"/>
    <col min="4382" max="4382" width="14" style="69" customWidth="1"/>
    <col min="4383" max="4384" width="10.28515625" style="69" customWidth="1"/>
    <col min="4385" max="4385" width="12.7109375" style="69" customWidth="1"/>
    <col min="4386" max="4386" width="16.28515625" style="69" customWidth="1"/>
    <col min="4387" max="4618" width="9" style="69"/>
    <col min="4619" max="4619" width="6.85546875" style="69" customWidth="1"/>
    <col min="4620" max="4620" width="28.42578125" style="69" customWidth="1"/>
    <col min="4621" max="4621" width="7.7109375" style="69" customWidth="1"/>
    <col min="4622" max="4622" width="14.140625" style="69" customWidth="1"/>
    <col min="4623" max="4623" width="12" style="69" customWidth="1"/>
    <col min="4624" max="4624" width="13.7109375" style="69" customWidth="1"/>
    <col min="4625" max="4625" width="6.7109375" style="69" customWidth="1"/>
    <col min="4626" max="4626" width="11.7109375" style="69" customWidth="1"/>
    <col min="4627" max="4627" width="12.140625" style="69" customWidth="1"/>
    <col min="4628" max="4628" width="11.85546875" style="69" customWidth="1"/>
    <col min="4629" max="4629" width="13.85546875" style="69" customWidth="1"/>
    <col min="4630" max="4630" width="11.42578125" style="69" customWidth="1"/>
    <col min="4631" max="4631" width="12.7109375" style="69" customWidth="1"/>
    <col min="4632" max="4632" width="12.5703125" style="69" customWidth="1"/>
    <col min="4633" max="4633" width="9" style="69" hidden="1" customWidth="1"/>
    <col min="4634" max="4635" width="12.42578125" style="69" customWidth="1"/>
    <col min="4636" max="4636" width="12" style="69" customWidth="1"/>
    <col min="4637" max="4637" width="10.28515625" style="69" customWidth="1"/>
    <col min="4638" max="4638" width="14" style="69" customWidth="1"/>
    <col min="4639" max="4640" width="10.28515625" style="69" customWidth="1"/>
    <col min="4641" max="4641" width="12.7109375" style="69" customWidth="1"/>
    <col min="4642" max="4642" width="16.28515625" style="69" customWidth="1"/>
    <col min="4643" max="4874" width="9" style="69"/>
    <col min="4875" max="4875" width="6.85546875" style="69" customWidth="1"/>
    <col min="4876" max="4876" width="28.42578125" style="69" customWidth="1"/>
    <col min="4877" max="4877" width="7.7109375" style="69" customWidth="1"/>
    <col min="4878" max="4878" width="14.140625" style="69" customWidth="1"/>
    <col min="4879" max="4879" width="12" style="69" customWidth="1"/>
    <col min="4880" max="4880" width="13.7109375" style="69" customWidth="1"/>
    <col min="4881" max="4881" width="6.7109375" style="69" customWidth="1"/>
    <col min="4882" max="4882" width="11.7109375" style="69" customWidth="1"/>
    <col min="4883" max="4883" width="12.140625" style="69" customWidth="1"/>
    <col min="4884" max="4884" width="11.85546875" style="69" customWidth="1"/>
    <col min="4885" max="4885" width="13.85546875" style="69" customWidth="1"/>
    <col min="4886" max="4886" width="11.42578125" style="69" customWidth="1"/>
    <col min="4887" max="4887" width="12.7109375" style="69" customWidth="1"/>
    <col min="4888" max="4888" width="12.5703125" style="69" customWidth="1"/>
    <col min="4889" max="4889" width="9" style="69" hidden="1" customWidth="1"/>
    <col min="4890" max="4891" width="12.42578125" style="69" customWidth="1"/>
    <col min="4892" max="4892" width="12" style="69" customWidth="1"/>
    <col min="4893" max="4893" width="10.28515625" style="69" customWidth="1"/>
    <col min="4894" max="4894" width="14" style="69" customWidth="1"/>
    <col min="4895" max="4896" width="10.28515625" style="69" customWidth="1"/>
    <col min="4897" max="4897" width="12.7109375" style="69" customWidth="1"/>
    <col min="4898" max="4898" width="16.28515625" style="69" customWidth="1"/>
    <col min="4899" max="5130" width="9" style="69"/>
    <col min="5131" max="5131" width="6.85546875" style="69" customWidth="1"/>
    <col min="5132" max="5132" width="28.42578125" style="69" customWidth="1"/>
    <col min="5133" max="5133" width="7.7109375" style="69" customWidth="1"/>
    <col min="5134" max="5134" width="14.140625" style="69" customWidth="1"/>
    <col min="5135" max="5135" width="12" style="69" customWidth="1"/>
    <col min="5136" max="5136" width="13.7109375" style="69" customWidth="1"/>
    <col min="5137" max="5137" width="6.7109375" style="69" customWidth="1"/>
    <col min="5138" max="5138" width="11.7109375" style="69" customWidth="1"/>
    <col min="5139" max="5139" width="12.140625" style="69" customWidth="1"/>
    <col min="5140" max="5140" width="11.85546875" style="69" customWidth="1"/>
    <col min="5141" max="5141" width="13.85546875" style="69" customWidth="1"/>
    <col min="5142" max="5142" width="11.42578125" style="69" customWidth="1"/>
    <col min="5143" max="5143" width="12.7109375" style="69" customWidth="1"/>
    <col min="5144" max="5144" width="12.5703125" style="69" customWidth="1"/>
    <col min="5145" max="5145" width="9" style="69" hidden="1" customWidth="1"/>
    <col min="5146" max="5147" width="12.42578125" style="69" customWidth="1"/>
    <col min="5148" max="5148" width="12" style="69" customWidth="1"/>
    <col min="5149" max="5149" width="10.28515625" style="69" customWidth="1"/>
    <col min="5150" max="5150" width="14" style="69" customWidth="1"/>
    <col min="5151" max="5152" width="10.28515625" style="69" customWidth="1"/>
    <col min="5153" max="5153" width="12.7109375" style="69" customWidth="1"/>
    <col min="5154" max="5154" width="16.28515625" style="69" customWidth="1"/>
    <col min="5155" max="5386" width="9" style="69"/>
    <col min="5387" max="5387" width="6.85546875" style="69" customWidth="1"/>
    <col min="5388" max="5388" width="28.42578125" style="69" customWidth="1"/>
    <col min="5389" max="5389" width="7.7109375" style="69" customWidth="1"/>
    <col min="5390" max="5390" width="14.140625" style="69" customWidth="1"/>
    <col min="5391" max="5391" width="12" style="69" customWidth="1"/>
    <col min="5392" max="5392" width="13.7109375" style="69" customWidth="1"/>
    <col min="5393" max="5393" width="6.7109375" style="69" customWidth="1"/>
    <col min="5394" max="5394" width="11.7109375" style="69" customWidth="1"/>
    <col min="5395" max="5395" width="12.140625" style="69" customWidth="1"/>
    <col min="5396" max="5396" width="11.85546875" style="69" customWidth="1"/>
    <col min="5397" max="5397" width="13.85546875" style="69" customWidth="1"/>
    <col min="5398" max="5398" width="11.42578125" style="69" customWidth="1"/>
    <col min="5399" max="5399" width="12.7109375" style="69" customWidth="1"/>
    <col min="5400" max="5400" width="12.5703125" style="69" customWidth="1"/>
    <col min="5401" max="5401" width="9" style="69" hidden="1" customWidth="1"/>
    <col min="5402" max="5403" width="12.42578125" style="69" customWidth="1"/>
    <col min="5404" max="5404" width="12" style="69" customWidth="1"/>
    <col min="5405" max="5405" width="10.28515625" style="69" customWidth="1"/>
    <col min="5406" max="5406" width="14" style="69" customWidth="1"/>
    <col min="5407" max="5408" width="10.28515625" style="69" customWidth="1"/>
    <col min="5409" max="5409" width="12.7109375" style="69" customWidth="1"/>
    <col min="5410" max="5410" width="16.28515625" style="69" customWidth="1"/>
    <col min="5411" max="5642" width="9" style="69"/>
    <col min="5643" max="5643" width="6.85546875" style="69" customWidth="1"/>
    <col min="5644" max="5644" width="28.42578125" style="69" customWidth="1"/>
    <col min="5645" max="5645" width="7.7109375" style="69" customWidth="1"/>
    <col min="5646" max="5646" width="14.140625" style="69" customWidth="1"/>
    <col min="5647" max="5647" width="12" style="69" customWidth="1"/>
    <col min="5648" max="5648" width="13.7109375" style="69" customWidth="1"/>
    <col min="5649" max="5649" width="6.7109375" style="69" customWidth="1"/>
    <col min="5650" max="5650" width="11.7109375" style="69" customWidth="1"/>
    <col min="5651" max="5651" width="12.140625" style="69" customWidth="1"/>
    <col min="5652" max="5652" width="11.85546875" style="69" customWidth="1"/>
    <col min="5653" max="5653" width="13.85546875" style="69" customWidth="1"/>
    <col min="5654" max="5654" width="11.42578125" style="69" customWidth="1"/>
    <col min="5655" max="5655" width="12.7109375" style="69" customWidth="1"/>
    <col min="5656" max="5656" width="12.5703125" style="69" customWidth="1"/>
    <col min="5657" max="5657" width="9" style="69" hidden="1" customWidth="1"/>
    <col min="5658" max="5659" width="12.42578125" style="69" customWidth="1"/>
    <col min="5660" max="5660" width="12" style="69" customWidth="1"/>
    <col min="5661" max="5661" width="10.28515625" style="69" customWidth="1"/>
    <col min="5662" max="5662" width="14" style="69" customWidth="1"/>
    <col min="5663" max="5664" width="10.28515625" style="69" customWidth="1"/>
    <col min="5665" max="5665" width="12.7109375" style="69" customWidth="1"/>
    <col min="5666" max="5666" width="16.28515625" style="69" customWidth="1"/>
    <col min="5667" max="5898" width="9" style="69"/>
    <col min="5899" max="5899" width="6.85546875" style="69" customWidth="1"/>
    <col min="5900" max="5900" width="28.42578125" style="69" customWidth="1"/>
    <col min="5901" max="5901" width="7.7109375" style="69" customWidth="1"/>
    <col min="5902" max="5902" width="14.140625" style="69" customWidth="1"/>
    <col min="5903" max="5903" width="12" style="69" customWidth="1"/>
    <col min="5904" max="5904" width="13.7109375" style="69" customWidth="1"/>
    <col min="5905" max="5905" width="6.7109375" style="69" customWidth="1"/>
    <col min="5906" max="5906" width="11.7109375" style="69" customWidth="1"/>
    <col min="5907" max="5907" width="12.140625" style="69" customWidth="1"/>
    <col min="5908" max="5908" width="11.85546875" style="69" customWidth="1"/>
    <col min="5909" max="5909" width="13.85546875" style="69" customWidth="1"/>
    <col min="5910" max="5910" width="11.42578125" style="69" customWidth="1"/>
    <col min="5911" max="5911" width="12.7109375" style="69" customWidth="1"/>
    <col min="5912" max="5912" width="12.5703125" style="69" customWidth="1"/>
    <col min="5913" max="5913" width="9" style="69" hidden="1" customWidth="1"/>
    <col min="5914" max="5915" width="12.42578125" style="69" customWidth="1"/>
    <col min="5916" max="5916" width="12" style="69" customWidth="1"/>
    <col min="5917" max="5917" width="10.28515625" style="69" customWidth="1"/>
    <col min="5918" max="5918" width="14" style="69" customWidth="1"/>
    <col min="5919" max="5920" width="10.28515625" style="69" customWidth="1"/>
    <col min="5921" max="5921" width="12.7109375" style="69" customWidth="1"/>
    <col min="5922" max="5922" width="16.28515625" style="69" customWidth="1"/>
    <col min="5923" max="6154" width="9" style="69"/>
    <col min="6155" max="6155" width="6.85546875" style="69" customWidth="1"/>
    <col min="6156" max="6156" width="28.42578125" style="69" customWidth="1"/>
    <col min="6157" max="6157" width="7.7109375" style="69" customWidth="1"/>
    <col min="6158" max="6158" width="14.140625" style="69" customWidth="1"/>
    <col min="6159" max="6159" width="12" style="69" customWidth="1"/>
    <col min="6160" max="6160" width="13.7109375" style="69" customWidth="1"/>
    <col min="6161" max="6161" width="6.7109375" style="69" customWidth="1"/>
    <col min="6162" max="6162" width="11.7109375" style="69" customWidth="1"/>
    <col min="6163" max="6163" width="12.140625" style="69" customWidth="1"/>
    <col min="6164" max="6164" width="11.85546875" style="69" customWidth="1"/>
    <col min="6165" max="6165" width="13.85546875" style="69" customWidth="1"/>
    <col min="6166" max="6166" width="11.42578125" style="69" customWidth="1"/>
    <col min="6167" max="6167" width="12.7109375" style="69" customWidth="1"/>
    <col min="6168" max="6168" width="12.5703125" style="69" customWidth="1"/>
    <col min="6169" max="6169" width="9" style="69" hidden="1" customWidth="1"/>
    <col min="6170" max="6171" width="12.42578125" style="69" customWidth="1"/>
    <col min="6172" max="6172" width="12" style="69" customWidth="1"/>
    <col min="6173" max="6173" width="10.28515625" style="69" customWidth="1"/>
    <col min="6174" max="6174" width="14" style="69" customWidth="1"/>
    <col min="6175" max="6176" width="10.28515625" style="69" customWidth="1"/>
    <col min="6177" max="6177" width="12.7109375" style="69" customWidth="1"/>
    <col min="6178" max="6178" width="16.28515625" style="69" customWidth="1"/>
    <col min="6179" max="6410" width="9" style="69"/>
    <col min="6411" max="6411" width="6.85546875" style="69" customWidth="1"/>
    <col min="6412" max="6412" width="28.42578125" style="69" customWidth="1"/>
    <col min="6413" max="6413" width="7.7109375" style="69" customWidth="1"/>
    <col min="6414" max="6414" width="14.140625" style="69" customWidth="1"/>
    <col min="6415" max="6415" width="12" style="69" customWidth="1"/>
    <col min="6416" max="6416" width="13.7109375" style="69" customWidth="1"/>
    <col min="6417" max="6417" width="6.7109375" style="69" customWidth="1"/>
    <col min="6418" max="6418" width="11.7109375" style="69" customWidth="1"/>
    <col min="6419" max="6419" width="12.140625" style="69" customWidth="1"/>
    <col min="6420" max="6420" width="11.85546875" style="69" customWidth="1"/>
    <col min="6421" max="6421" width="13.85546875" style="69" customWidth="1"/>
    <col min="6422" max="6422" width="11.42578125" style="69" customWidth="1"/>
    <col min="6423" max="6423" width="12.7109375" style="69" customWidth="1"/>
    <col min="6424" max="6424" width="12.5703125" style="69" customWidth="1"/>
    <col min="6425" max="6425" width="9" style="69" hidden="1" customWidth="1"/>
    <col min="6426" max="6427" width="12.42578125" style="69" customWidth="1"/>
    <col min="6428" max="6428" width="12" style="69" customWidth="1"/>
    <col min="6429" max="6429" width="10.28515625" style="69" customWidth="1"/>
    <col min="6430" max="6430" width="14" style="69" customWidth="1"/>
    <col min="6431" max="6432" width="10.28515625" style="69" customWidth="1"/>
    <col min="6433" max="6433" width="12.7109375" style="69" customWidth="1"/>
    <col min="6434" max="6434" width="16.28515625" style="69" customWidth="1"/>
    <col min="6435" max="6666" width="9" style="69"/>
    <col min="6667" max="6667" width="6.85546875" style="69" customWidth="1"/>
    <col min="6668" max="6668" width="28.42578125" style="69" customWidth="1"/>
    <col min="6669" max="6669" width="7.7109375" style="69" customWidth="1"/>
    <col min="6670" max="6670" width="14.140625" style="69" customWidth="1"/>
    <col min="6671" max="6671" width="12" style="69" customWidth="1"/>
    <col min="6672" max="6672" width="13.7109375" style="69" customWidth="1"/>
    <col min="6673" max="6673" width="6.7109375" style="69" customWidth="1"/>
    <col min="6674" max="6674" width="11.7109375" style="69" customWidth="1"/>
    <col min="6675" max="6675" width="12.140625" style="69" customWidth="1"/>
    <col min="6676" max="6676" width="11.85546875" style="69" customWidth="1"/>
    <col min="6677" max="6677" width="13.85546875" style="69" customWidth="1"/>
    <col min="6678" max="6678" width="11.42578125" style="69" customWidth="1"/>
    <col min="6679" max="6679" width="12.7109375" style="69" customWidth="1"/>
    <col min="6680" max="6680" width="12.5703125" style="69" customWidth="1"/>
    <col min="6681" max="6681" width="9" style="69" hidden="1" customWidth="1"/>
    <col min="6682" max="6683" width="12.42578125" style="69" customWidth="1"/>
    <col min="6684" max="6684" width="12" style="69" customWidth="1"/>
    <col min="6685" max="6685" width="10.28515625" style="69" customWidth="1"/>
    <col min="6686" max="6686" width="14" style="69" customWidth="1"/>
    <col min="6687" max="6688" width="10.28515625" style="69" customWidth="1"/>
    <col min="6689" max="6689" width="12.7109375" style="69" customWidth="1"/>
    <col min="6690" max="6690" width="16.28515625" style="69" customWidth="1"/>
    <col min="6691" max="6922" width="9" style="69"/>
    <col min="6923" max="6923" width="6.85546875" style="69" customWidth="1"/>
    <col min="6924" max="6924" width="28.42578125" style="69" customWidth="1"/>
    <col min="6925" max="6925" width="7.7109375" style="69" customWidth="1"/>
    <col min="6926" max="6926" width="14.140625" style="69" customWidth="1"/>
    <col min="6927" max="6927" width="12" style="69" customWidth="1"/>
    <col min="6928" max="6928" width="13.7109375" style="69" customWidth="1"/>
    <col min="6929" max="6929" width="6.7109375" style="69" customWidth="1"/>
    <col min="6930" max="6930" width="11.7109375" style="69" customWidth="1"/>
    <col min="6931" max="6931" width="12.140625" style="69" customWidth="1"/>
    <col min="6932" max="6932" width="11.85546875" style="69" customWidth="1"/>
    <col min="6933" max="6933" width="13.85546875" style="69" customWidth="1"/>
    <col min="6934" max="6934" width="11.42578125" style="69" customWidth="1"/>
    <col min="6935" max="6935" width="12.7109375" style="69" customWidth="1"/>
    <col min="6936" max="6936" width="12.5703125" style="69" customWidth="1"/>
    <col min="6937" max="6937" width="9" style="69" hidden="1" customWidth="1"/>
    <col min="6938" max="6939" width="12.42578125" style="69" customWidth="1"/>
    <col min="6940" max="6940" width="12" style="69" customWidth="1"/>
    <col min="6941" max="6941" width="10.28515625" style="69" customWidth="1"/>
    <col min="6942" max="6942" width="14" style="69" customWidth="1"/>
    <col min="6943" max="6944" width="10.28515625" style="69" customWidth="1"/>
    <col min="6945" max="6945" width="12.7109375" style="69" customWidth="1"/>
    <col min="6946" max="6946" width="16.28515625" style="69" customWidth="1"/>
    <col min="6947" max="7178" width="9" style="69"/>
    <col min="7179" max="7179" width="6.85546875" style="69" customWidth="1"/>
    <col min="7180" max="7180" width="28.42578125" style="69" customWidth="1"/>
    <col min="7181" max="7181" width="7.7109375" style="69" customWidth="1"/>
    <col min="7182" max="7182" width="14.140625" style="69" customWidth="1"/>
    <col min="7183" max="7183" width="12" style="69" customWidth="1"/>
    <col min="7184" max="7184" width="13.7109375" style="69" customWidth="1"/>
    <col min="7185" max="7185" width="6.7109375" style="69" customWidth="1"/>
    <col min="7186" max="7186" width="11.7109375" style="69" customWidth="1"/>
    <col min="7187" max="7187" width="12.140625" style="69" customWidth="1"/>
    <col min="7188" max="7188" width="11.85546875" style="69" customWidth="1"/>
    <col min="7189" max="7189" width="13.85546875" style="69" customWidth="1"/>
    <col min="7190" max="7190" width="11.42578125" style="69" customWidth="1"/>
    <col min="7191" max="7191" width="12.7109375" style="69" customWidth="1"/>
    <col min="7192" max="7192" width="12.5703125" style="69" customWidth="1"/>
    <col min="7193" max="7193" width="9" style="69" hidden="1" customWidth="1"/>
    <col min="7194" max="7195" width="12.42578125" style="69" customWidth="1"/>
    <col min="7196" max="7196" width="12" style="69" customWidth="1"/>
    <col min="7197" max="7197" width="10.28515625" style="69" customWidth="1"/>
    <col min="7198" max="7198" width="14" style="69" customWidth="1"/>
    <col min="7199" max="7200" width="10.28515625" style="69" customWidth="1"/>
    <col min="7201" max="7201" width="12.7109375" style="69" customWidth="1"/>
    <col min="7202" max="7202" width="16.28515625" style="69" customWidth="1"/>
    <col min="7203" max="7434" width="9" style="69"/>
    <col min="7435" max="7435" width="6.85546875" style="69" customWidth="1"/>
    <col min="7436" max="7436" width="28.42578125" style="69" customWidth="1"/>
    <col min="7437" max="7437" width="7.7109375" style="69" customWidth="1"/>
    <col min="7438" max="7438" width="14.140625" style="69" customWidth="1"/>
    <col min="7439" max="7439" width="12" style="69" customWidth="1"/>
    <col min="7440" max="7440" width="13.7109375" style="69" customWidth="1"/>
    <col min="7441" max="7441" width="6.7109375" style="69" customWidth="1"/>
    <col min="7442" max="7442" width="11.7109375" style="69" customWidth="1"/>
    <col min="7443" max="7443" width="12.140625" style="69" customWidth="1"/>
    <col min="7444" max="7444" width="11.85546875" style="69" customWidth="1"/>
    <col min="7445" max="7445" width="13.85546875" style="69" customWidth="1"/>
    <col min="7446" max="7446" width="11.42578125" style="69" customWidth="1"/>
    <col min="7447" max="7447" width="12.7109375" style="69" customWidth="1"/>
    <col min="7448" max="7448" width="12.5703125" style="69" customWidth="1"/>
    <col min="7449" max="7449" width="9" style="69" hidden="1" customWidth="1"/>
    <col min="7450" max="7451" width="12.42578125" style="69" customWidth="1"/>
    <col min="7452" max="7452" width="12" style="69" customWidth="1"/>
    <col min="7453" max="7453" width="10.28515625" style="69" customWidth="1"/>
    <col min="7454" max="7454" width="14" style="69" customWidth="1"/>
    <col min="7455" max="7456" width="10.28515625" style="69" customWidth="1"/>
    <col min="7457" max="7457" width="12.7109375" style="69" customWidth="1"/>
    <col min="7458" max="7458" width="16.28515625" style="69" customWidth="1"/>
    <col min="7459" max="7690" width="9" style="69"/>
    <col min="7691" max="7691" width="6.85546875" style="69" customWidth="1"/>
    <col min="7692" max="7692" width="28.42578125" style="69" customWidth="1"/>
    <col min="7693" max="7693" width="7.7109375" style="69" customWidth="1"/>
    <col min="7694" max="7694" width="14.140625" style="69" customWidth="1"/>
    <col min="7695" max="7695" width="12" style="69" customWidth="1"/>
    <col min="7696" max="7696" width="13.7109375" style="69" customWidth="1"/>
    <col min="7697" max="7697" width="6.7109375" style="69" customWidth="1"/>
    <col min="7698" max="7698" width="11.7109375" style="69" customWidth="1"/>
    <col min="7699" max="7699" width="12.140625" style="69" customWidth="1"/>
    <col min="7700" max="7700" width="11.85546875" style="69" customWidth="1"/>
    <col min="7701" max="7701" width="13.85546875" style="69" customWidth="1"/>
    <col min="7702" max="7702" width="11.42578125" style="69" customWidth="1"/>
    <col min="7703" max="7703" width="12.7109375" style="69" customWidth="1"/>
    <col min="7704" max="7704" width="12.5703125" style="69" customWidth="1"/>
    <col min="7705" max="7705" width="9" style="69" hidden="1" customWidth="1"/>
    <col min="7706" max="7707" width="12.42578125" style="69" customWidth="1"/>
    <col min="7708" max="7708" width="12" style="69" customWidth="1"/>
    <col min="7709" max="7709" width="10.28515625" style="69" customWidth="1"/>
    <col min="7710" max="7710" width="14" style="69" customWidth="1"/>
    <col min="7711" max="7712" width="10.28515625" style="69" customWidth="1"/>
    <col min="7713" max="7713" width="12.7109375" style="69" customWidth="1"/>
    <col min="7714" max="7714" width="16.28515625" style="69" customWidth="1"/>
    <col min="7715" max="7946" width="9" style="69"/>
    <col min="7947" max="7947" width="6.85546875" style="69" customWidth="1"/>
    <col min="7948" max="7948" width="28.42578125" style="69" customWidth="1"/>
    <col min="7949" max="7949" width="7.7109375" style="69" customWidth="1"/>
    <col min="7950" max="7950" width="14.140625" style="69" customWidth="1"/>
    <col min="7951" max="7951" width="12" style="69" customWidth="1"/>
    <col min="7952" max="7952" width="13.7109375" style="69" customWidth="1"/>
    <col min="7953" max="7953" width="6.7109375" style="69" customWidth="1"/>
    <col min="7954" max="7954" width="11.7109375" style="69" customWidth="1"/>
    <col min="7955" max="7955" width="12.140625" style="69" customWidth="1"/>
    <col min="7956" max="7956" width="11.85546875" style="69" customWidth="1"/>
    <col min="7957" max="7957" width="13.85546875" style="69" customWidth="1"/>
    <col min="7958" max="7958" width="11.42578125" style="69" customWidth="1"/>
    <col min="7959" max="7959" width="12.7109375" style="69" customWidth="1"/>
    <col min="7960" max="7960" width="12.5703125" style="69" customWidth="1"/>
    <col min="7961" max="7961" width="9" style="69" hidden="1" customWidth="1"/>
    <col min="7962" max="7963" width="12.42578125" style="69" customWidth="1"/>
    <col min="7964" max="7964" width="12" style="69" customWidth="1"/>
    <col min="7965" max="7965" width="10.28515625" style="69" customWidth="1"/>
    <col min="7966" max="7966" width="14" style="69" customWidth="1"/>
    <col min="7967" max="7968" width="10.28515625" style="69" customWidth="1"/>
    <col min="7969" max="7969" width="12.7109375" style="69" customWidth="1"/>
    <col min="7970" max="7970" width="16.28515625" style="69" customWidth="1"/>
    <col min="7971" max="8202" width="9" style="69"/>
    <col min="8203" max="8203" width="6.85546875" style="69" customWidth="1"/>
    <col min="8204" max="8204" width="28.42578125" style="69" customWidth="1"/>
    <col min="8205" max="8205" width="7.7109375" style="69" customWidth="1"/>
    <col min="8206" max="8206" width="14.140625" style="69" customWidth="1"/>
    <col min="8207" max="8207" width="12" style="69" customWidth="1"/>
    <col min="8208" max="8208" width="13.7109375" style="69" customWidth="1"/>
    <col min="8209" max="8209" width="6.7109375" style="69" customWidth="1"/>
    <col min="8210" max="8210" width="11.7109375" style="69" customWidth="1"/>
    <col min="8211" max="8211" width="12.140625" style="69" customWidth="1"/>
    <col min="8212" max="8212" width="11.85546875" style="69" customWidth="1"/>
    <col min="8213" max="8213" width="13.85546875" style="69" customWidth="1"/>
    <col min="8214" max="8214" width="11.42578125" style="69" customWidth="1"/>
    <col min="8215" max="8215" width="12.7109375" style="69" customWidth="1"/>
    <col min="8216" max="8216" width="12.5703125" style="69" customWidth="1"/>
    <col min="8217" max="8217" width="9" style="69" hidden="1" customWidth="1"/>
    <col min="8218" max="8219" width="12.42578125" style="69" customWidth="1"/>
    <col min="8220" max="8220" width="12" style="69" customWidth="1"/>
    <col min="8221" max="8221" width="10.28515625" style="69" customWidth="1"/>
    <col min="8222" max="8222" width="14" style="69" customWidth="1"/>
    <col min="8223" max="8224" width="10.28515625" style="69" customWidth="1"/>
    <col min="8225" max="8225" width="12.7109375" style="69" customWidth="1"/>
    <col min="8226" max="8226" width="16.28515625" style="69" customWidth="1"/>
    <col min="8227" max="8458" width="9" style="69"/>
    <col min="8459" max="8459" width="6.85546875" style="69" customWidth="1"/>
    <col min="8460" max="8460" width="28.42578125" style="69" customWidth="1"/>
    <col min="8461" max="8461" width="7.7109375" style="69" customWidth="1"/>
    <col min="8462" max="8462" width="14.140625" style="69" customWidth="1"/>
    <col min="8463" max="8463" width="12" style="69" customWidth="1"/>
    <col min="8464" max="8464" width="13.7109375" style="69" customWidth="1"/>
    <col min="8465" max="8465" width="6.7109375" style="69" customWidth="1"/>
    <col min="8466" max="8466" width="11.7109375" style="69" customWidth="1"/>
    <col min="8467" max="8467" width="12.140625" style="69" customWidth="1"/>
    <col min="8468" max="8468" width="11.85546875" style="69" customWidth="1"/>
    <col min="8469" max="8469" width="13.85546875" style="69" customWidth="1"/>
    <col min="8470" max="8470" width="11.42578125" style="69" customWidth="1"/>
    <col min="8471" max="8471" width="12.7109375" style="69" customWidth="1"/>
    <col min="8472" max="8472" width="12.5703125" style="69" customWidth="1"/>
    <col min="8473" max="8473" width="9" style="69" hidden="1" customWidth="1"/>
    <col min="8474" max="8475" width="12.42578125" style="69" customWidth="1"/>
    <col min="8476" max="8476" width="12" style="69" customWidth="1"/>
    <col min="8477" max="8477" width="10.28515625" style="69" customWidth="1"/>
    <col min="8478" max="8478" width="14" style="69" customWidth="1"/>
    <col min="8479" max="8480" width="10.28515625" style="69" customWidth="1"/>
    <col min="8481" max="8481" width="12.7109375" style="69" customWidth="1"/>
    <col min="8482" max="8482" width="16.28515625" style="69" customWidth="1"/>
    <col min="8483" max="8714" width="9" style="69"/>
    <col min="8715" max="8715" width="6.85546875" style="69" customWidth="1"/>
    <col min="8716" max="8716" width="28.42578125" style="69" customWidth="1"/>
    <col min="8717" max="8717" width="7.7109375" style="69" customWidth="1"/>
    <col min="8718" max="8718" width="14.140625" style="69" customWidth="1"/>
    <col min="8719" max="8719" width="12" style="69" customWidth="1"/>
    <col min="8720" max="8720" width="13.7109375" style="69" customWidth="1"/>
    <col min="8721" max="8721" width="6.7109375" style="69" customWidth="1"/>
    <col min="8722" max="8722" width="11.7109375" style="69" customWidth="1"/>
    <col min="8723" max="8723" width="12.140625" style="69" customWidth="1"/>
    <col min="8724" max="8724" width="11.85546875" style="69" customWidth="1"/>
    <col min="8725" max="8725" width="13.85546875" style="69" customWidth="1"/>
    <col min="8726" max="8726" width="11.42578125" style="69" customWidth="1"/>
    <col min="8727" max="8727" width="12.7109375" style="69" customWidth="1"/>
    <col min="8728" max="8728" width="12.5703125" style="69" customWidth="1"/>
    <col min="8729" max="8729" width="9" style="69" hidden="1" customWidth="1"/>
    <col min="8730" max="8731" width="12.42578125" style="69" customWidth="1"/>
    <col min="8732" max="8732" width="12" style="69" customWidth="1"/>
    <col min="8733" max="8733" width="10.28515625" style="69" customWidth="1"/>
    <col min="8734" max="8734" width="14" style="69" customWidth="1"/>
    <col min="8735" max="8736" width="10.28515625" style="69" customWidth="1"/>
    <col min="8737" max="8737" width="12.7109375" style="69" customWidth="1"/>
    <col min="8738" max="8738" width="16.28515625" style="69" customWidth="1"/>
    <col min="8739" max="8970" width="9" style="69"/>
    <col min="8971" max="8971" width="6.85546875" style="69" customWidth="1"/>
    <col min="8972" max="8972" width="28.42578125" style="69" customWidth="1"/>
    <col min="8973" max="8973" width="7.7109375" style="69" customWidth="1"/>
    <col min="8974" max="8974" width="14.140625" style="69" customWidth="1"/>
    <col min="8975" max="8975" width="12" style="69" customWidth="1"/>
    <col min="8976" max="8976" width="13.7109375" style="69" customWidth="1"/>
    <col min="8977" max="8977" width="6.7109375" style="69" customWidth="1"/>
    <col min="8978" max="8978" width="11.7109375" style="69" customWidth="1"/>
    <col min="8979" max="8979" width="12.140625" style="69" customWidth="1"/>
    <col min="8980" max="8980" width="11.85546875" style="69" customWidth="1"/>
    <col min="8981" max="8981" width="13.85546875" style="69" customWidth="1"/>
    <col min="8982" max="8982" width="11.42578125" style="69" customWidth="1"/>
    <col min="8983" max="8983" width="12.7109375" style="69" customWidth="1"/>
    <col min="8984" max="8984" width="12.5703125" style="69" customWidth="1"/>
    <col min="8985" max="8985" width="9" style="69" hidden="1" customWidth="1"/>
    <col min="8986" max="8987" width="12.42578125" style="69" customWidth="1"/>
    <col min="8988" max="8988" width="12" style="69" customWidth="1"/>
    <col min="8989" max="8989" width="10.28515625" style="69" customWidth="1"/>
    <col min="8990" max="8990" width="14" style="69" customWidth="1"/>
    <col min="8991" max="8992" width="10.28515625" style="69" customWidth="1"/>
    <col min="8993" max="8993" width="12.7109375" style="69" customWidth="1"/>
    <col min="8994" max="8994" width="16.28515625" style="69" customWidth="1"/>
    <col min="8995" max="9226" width="9" style="69"/>
    <col min="9227" max="9227" width="6.85546875" style="69" customWidth="1"/>
    <col min="9228" max="9228" width="28.42578125" style="69" customWidth="1"/>
    <col min="9229" max="9229" width="7.7109375" style="69" customWidth="1"/>
    <col min="9230" max="9230" width="14.140625" style="69" customWidth="1"/>
    <col min="9231" max="9231" width="12" style="69" customWidth="1"/>
    <col min="9232" max="9232" width="13.7109375" style="69" customWidth="1"/>
    <col min="9233" max="9233" width="6.7109375" style="69" customWidth="1"/>
    <col min="9234" max="9234" width="11.7109375" style="69" customWidth="1"/>
    <col min="9235" max="9235" width="12.140625" style="69" customWidth="1"/>
    <col min="9236" max="9236" width="11.85546875" style="69" customWidth="1"/>
    <col min="9237" max="9237" width="13.85546875" style="69" customWidth="1"/>
    <col min="9238" max="9238" width="11.42578125" style="69" customWidth="1"/>
    <col min="9239" max="9239" width="12.7109375" style="69" customWidth="1"/>
    <col min="9240" max="9240" width="12.5703125" style="69" customWidth="1"/>
    <col min="9241" max="9241" width="9" style="69" hidden="1" customWidth="1"/>
    <col min="9242" max="9243" width="12.42578125" style="69" customWidth="1"/>
    <col min="9244" max="9244" width="12" style="69" customWidth="1"/>
    <col min="9245" max="9245" width="10.28515625" style="69" customWidth="1"/>
    <col min="9246" max="9246" width="14" style="69" customWidth="1"/>
    <col min="9247" max="9248" width="10.28515625" style="69" customWidth="1"/>
    <col min="9249" max="9249" width="12.7109375" style="69" customWidth="1"/>
    <col min="9250" max="9250" width="16.28515625" style="69" customWidth="1"/>
    <col min="9251" max="9482" width="9" style="69"/>
    <col min="9483" max="9483" width="6.85546875" style="69" customWidth="1"/>
    <col min="9484" max="9484" width="28.42578125" style="69" customWidth="1"/>
    <col min="9485" max="9485" width="7.7109375" style="69" customWidth="1"/>
    <col min="9486" max="9486" width="14.140625" style="69" customWidth="1"/>
    <col min="9487" max="9487" width="12" style="69" customWidth="1"/>
    <col min="9488" max="9488" width="13.7109375" style="69" customWidth="1"/>
    <col min="9489" max="9489" width="6.7109375" style="69" customWidth="1"/>
    <col min="9490" max="9490" width="11.7109375" style="69" customWidth="1"/>
    <col min="9491" max="9491" width="12.140625" style="69" customWidth="1"/>
    <col min="9492" max="9492" width="11.85546875" style="69" customWidth="1"/>
    <col min="9493" max="9493" width="13.85546875" style="69" customWidth="1"/>
    <col min="9494" max="9494" width="11.42578125" style="69" customWidth="1"/>
    <col min="9495" max="9495" width="12.7109375" style="69" customWidth="1"/>
    <col min="9496" max="9496" width="12.5703125" style="69" customWidth="1"/>
    <col min="9497" max="9497" width="9" style="69" hidden="1" customWidth="1"/>
    <col min="9498" max="9499" width="12.42578125" style="69" customWidth="1"/>
    <col min="9500" max="9500" width="12" style="69" customWidth="1"/>
    <col min="9501" max="9501" width="10.28515625" style="69" customWidth="1"/>
    <col min="9502" max="9502" width="14" style="69" customWidth="1"/>
    <col min="9503" max="9504" width="10.28515625" style="69" customWidth="1"/>
    <col min="9505" max="9505" width="12.7109375" style="69" customWidth="1"/>
    <col min="9506" max="9506" width="16.28515625" style="69" customWidth="1"/>
    <col min="9507" max="9738" width="9" style="69"/>
    <col min="9739" max="9739" width="6.85546875" style="69" customWidth="1"/>
    <col min="9740" max="9740" width="28.42578125" style="69" customWidth="1"/>
    <col min="9741" max="9741" width="7.7109375" style="69" customWidth="1"/>
    <col min="9742" max="9742" width="14.140625" style="69" customWidth="1"/>
    <col min="9743" max="9743" width="12" style="69" customWidth="1"/>
    <col min="9744" max="9744" width="13.7109375" style="69" customWidth="1"/>
    <col min="9745" max="9745" width="6.7109375" style="69" customWidth="1"/>
    <col min="9746" max="9746" width="11.7109375" style="69" customWidth="1"/>
    <col min="9747" max="9747" width="12.140625" style="69" customWidth="1"/>
    <col min="9748" max="9748" width="11.85546875" style="69" customWidth="1"/>
    <col min="9749" max="9749" width="13.85546875" style="69" customWidth="1"/>
    <col min="9750" max="9750" width="11.42578125" style="69" customWidth="1"/>
    <col min="9751" max="9751" width="12.7109375" style="69" customWidth="1"/>
    <col min="9752" max="9752" width="12.5703125" style="69" customWidth="1"/>
    <col min="9753" max="9753" width="9" style="69" hidden="1" customWidth="1"/>
    <col min="9754" max="9755" width="12.42578125" style="69" customWidth="1"/>
    <col min="9756" max="9756" width="12" style="69" customWidth="1"/>
    <col min="9757" max="9757" width="10.28515625" style="69" customWidth="1"/>
    <col min="9758" max="9758" width="14" style="69" customWidth="1"/>
    <col min="9759" max="9760" width="10.28515625" style="69" customWidth="1"/>
    <col min="9761" max="9761" width="12.7109375" style="69" customWidth="1"/>
    <col min="9762" max="9762" width="16.28515625" style="69" customWidth="1"/>
    <col min="9763" max="9994" width="9" style="69"/>
    <col min="9995" max="9995" width="6.85546875" style="69" customWidth="1"/>
    <col min="9996" max="9996" width="28.42578125" style="69" customWidth="1"/>
    <col min="9997" max="9997" width="7.7109375" style="69" customWidth="1"/>
    <col min="9998" max="9998" width="14.140625" style="69" customWidth="1"/>
    <col min="9999" max="9999" width="12" style="69" customWidth="1"/>
    <col min="10000" max="10000" width="13.7109375" style="69" customWidth="1"/>
    <col min="10001" max="10001" width="6.7109375" style="69" customWidth="1"/>
    <col min="10002" max="10002" width="11.7109375" style="69" customWidth="1"/>
    <col min="10003" max="10003" width="12.140625" style="69" customWidth="1"/>
    <col min="10004" max="10004" width="11.85546875" style="69" customWidth="1"/>
    <col min="10005" max="10005" width="13.85546875" style="69" customWidth="1"/>
    <col min="10006" max="10006" width="11.42578125" style="69" customWidth="1"/>
    <col min="10007" max="10007" width="12.7109375" style="69" customWidth="1"/>
    <col min="10008" max="10008" width="12.5703125" style="69" customWidth="1"/>
    <col min="10009" max="10009" width="9" style="69" hidden="1" customWidth="1"/>
    <col min="10010" max="10011" width="12.42578125" style="69" customWidth="1"/>
    <col min="10012" max="10012" width="12" style="69" customWidth="1"/>
    <col min="10013" max="10013" width="10.28515625" style="69" customWidth="1"/>
    <col min="10014" max="10014" width="14" style="69" customWidth="1"/>
    <col min="10015" max="10016" width="10.28515625" style="69" customWidth="1"/>
    <col min="10017" max="10017" width="12.7109375" style="69" customWidth="1"/>
    <col min="10018" max="10018" width="16.28515625" style="69" customWidth="1"/>
    <col min="10019" max="10250" width="9" style="69"/>
    <col min="10251" max="10251" width="6.85546875" style="69" customWidth="1"/>
    <col min="10252" max="10252" width="28.42578125" style="69" customWidth="1"/>
    <col min="10253" max="10253" width="7.7109375" style="69" customWidth="1"/>
    <col min="10254" max="10254" width="14.140625" style="69" customWidth="1"/>
    <col min="10255" max="10255" width="12" style="69" customWidth="1"/>
    <col min="10256" max="10256" width="13.7109375" style="69" customWidth="1"/>
    <col min="10257" max="10257" width="6.7109375" style="69" customWidth="1"/>
    <col min="10258" max="10258" width="11.7109375" style="69" customWidth="1"/>
    <col min="10259" max="10259" width="12.140625" style="69" customWidth="1"/>
    <col min="10260" max="10260" width="11.85546875" style="69" customWidth="1"/>
    <col min="10261" max="10261" width="13.85546875" style="69" customWidth="1"/>
    <col min="10262" max="10262" width="11.42578125" style="69" customWidth="1"/>
    <col min="10263" max="10263" width="12.7109375" style="69" customWidth="1"/>
    <col min="10264" max="10264" width="12.5703125" style="69" customWidth="1"/>
    <col min="10265" max="10265" width="9" style="69" hidden="1" customWidth="1"/>
    <col min="10266" max="10267" width="12.42578125" style="69" customWidth="1"/>
    <col min="10268" max="10268" width="12" style="69" customWidth="1"/>
    <col min="10269" max="10269" width="10.28515625" style="69" customWidth="1"/>
    <col min="10270" max="10270" width="14" style="69" customWidth="1"/>
    <col min="10271" max="10272" width="10.28515625" style="69" customWidth="1"/>
    <col min="10273" max="10273" width="12.7109375" style="69" customWidth="1"/>
    <col min="10274" max="10274" width="16.28515625" style="69" customWidth="1"/>
    <col min="10275" max="10506" width="9" style="69"/>
    <col min="10507" max="10507" width="6.85546875" style="69" customWidth="1"/>
    <col min="10508" max="10508" width="28.42578125" style="69" customWidth="1"/>
    <col min="10509" max="10509" width="7.7109375" style="69" customWidth="1"/>
    <col min="10510" max="10510" width="14.140625" style="69" customWidth="1"/>
    <col min="10511" max="10511" width="12" style="69" customWidth="1"/>
    <col min="10512" max="10512" width="13.7109375" style="69" customWidth="1"/>
    <col min="10513" max="10513" width="6.7109375" style="69" customWidth="1"/>
    <col min="10514" max="10514" width="11.7109375" style="69" customWidth="1"/>
    <col min="10515" max="10515" width="12.140625" style="69" customWidth="1"/>
    <col min="10516" max="10516" width="11.85546875" style="69" customWidth="1"/>
    <col min="10517" max="10517" width="13.85546875" style="69" customWidth="1"/>
    <col min="10518" max="10518" width="11.42578125" style="69" customWidth="1"/>
    <col min="10519" max="10519" width="12.7109375" style="69" customWidth="1"/>
    <col min="10520" max="10520" width="12.5703125" style="69" customWidth="1"/>
    <col min="10521" max="10521" width="9" style="69" hidden="1" customWidth="1"/>
    <col min="10522" max="10523" width="12.42578125" style="69" customWidth="1"/>
    <col min="10524" max="10524" width="12" style="69" customWidth="1"/>
    <col min="10525" max="10525" width="10.28515625" style="69" customWidth="1"/>
    <col min="10526" max="10526" width="14" style="69" customWidth="1"/>
    <col min="10527" max="10528" width="10.28515625" style="69" customWidth="1"/>
    <col min="10529" max="10529" width="12.7109375" style="69" customWidth="1"/>
    <col min="10530" max="10530" width="16.28515625" style="69" customWidth="1"/>
    <col min="10531" max="10762" width="9" style="69"/>
    <col min="10763" max="10763" width="6.85546875" style="69" customWidth="1"/>
    <col min="10764" max="10764" width="28.42578125" style="69" customWidth="1"/>
    <col min="10765" max="10765" width="7.7109375" style="69" customWidth="1"/>
    <col min="10766" max="10766" width="14.140625" style="69" customWidth="1"/>
    <col min="10767" max="10767" width="12" style="69" customWidth="1"/>
    <col min="10768" max="10768" width="13.7109375" style="69" customWidth="1"/>
    <col min="10769" max="10769" width="6.7109375" style="69" customWidth="1"/>
    <col min="10770" max="10770" width="11.7109375" style="69" customWidth="1"/>
    <col min="10771" max="10771" width="12.140625" style="69" customWidth="1"/>
    <col min="10772" max="10772" width="11.85546875" style="69" customWidth="1"/>
    <col min="10773" max="10773" width="13.85546875" style="69" customWidth="1"/>
    <col min="10774" max="10774" width="11.42578125" style="69" customWidth="1"/>
    <col min="10775" max="10775" width="12.7109375" style="69" customWidth="1"/>
    <col min="10776" max="10776" width="12.5703125" style="69" customWidth="1"/>
    <col min="10777" max="10777" width="9" style="69" hidden="1" customWidth="1"/>
    <col min="10778" max="10779" width="12.42578125" style="69" customWidth="1"/>
    <col min="10780" max="10780" width="12" style="69" customWidth="1"/>
    <col min="10781" max="10781" width="10.28515625" style="69" customWidth="1"/>
    <col min="10782" max="10782" width="14" style="69" customWidth="1"/>
    <col min="10783" max="10784" width="10.28515625" style="69" customWidth="1"/>
    <col min="10785" max="10785" width="12.7109375" style="69" customWidth="1"/>
    <col min="10786" max="10786" width="16.28515625" style="69" customWidth="1"/>
    <col min="10787" max="11018" width="9" style="69"/>
    <col min="11019" max="11019" width="6.85546875" style="69" customWidth="1"/>
    <col min="11020" max="11020" width="28.42578125" style="69" customWidth="1"/>
    <col min="11021" max="11021" width="7.7109375" style="69" customWidth="1"/>
    <col min="11022" max="11022" width="14.140625" style="69" customWidth="1"/>
    <col min="11023" max="11023" width="12" style="69" customWidth="1"/>
    <col min="11024" max="11024" width="13.7109375" style="69" customWidth="1"/>
    <col min="11025" max="11025" width="6.7109375" style="69" customWidth="1"/>
    <col min="11026" max="11026" width="11.7109375" style="69" customWidth="1"/>
    <col min="11027" max="11027" width="12.140625" style="69" customWidth="1"/>
    <col min="11028" max="11028" width="11.85546875" style="69" customWidth="1"/>
    <col min="11029" max="11029" width="13.85546875" style="69" customWidth="1"/>
    <col min="11030" max="11030" width="11.42578125" style="69" customWidth="1"/>
    <col min="11031" max="11031" width="12.7109375" style="69" customWidth="1"/>
    <col min="11032" max="11032" width="12.5703125" style="69" customWidth="1"/>
    <col min="11033" max="11033" width="9" style="69" hidden="1" customWidth="1"/>
    <col min="11034" max="11035" width="12.42578125" style="69" customWidth="1"/>
    <col min="11036" max="11036" width="12" style="69" customWidth="1"/>
    <col min="11037" max="11037" width="10.28515625" style="69" customWidth="1"/>
    <col min="11038" max="11038" width="14" style="69" customWidth="1"/>
    <col min="11039" max="11040" width="10.28515625" style="69" customWidth="1"/>
    <col min="11041" max="11041" width="12.7109375" style="69" customWidth="1"/>
    <col min="11042" max="11042" width="16.28515625" style="69" customWidth="1"/>
    <col min="11043" max="11274" width="9" style="69"/>
    <col min="11275" max="11275" width="6.85546875" style="69" customWidth="1"/>
    <col min="11276" max="11276" width="28.42578125" style="69" customWidth="1"/>
    <col min="11277" max="11277" width="7.7109375" style="69" customWidth="1"/>
    <col min="11278" max="11278" width="14.140625" style="69" customWidth="1"/>
    <col min="11279" max="11279" width="12" style="69" customWidth="1"/>
    <col min="11280" max="11280" width="13.7109375" style="69" customWidth="1"/>
    <col min="11281" max="11281" width="6.7109375" style="69" customWidth="1"/>
    <col min="11282" max="11282" width="11.7109375" style="69" customWidth="1"/>
    <col min="11283" max="11283" width="12.140625" style="69" customWidth="1"/>
    <col min="11284" max="11284" width="11.85546875" style="69" customWidth="1"/>
    <col min="11285" max="11285" width="13.85546875" style="69" customWidth="1"/>
    <col min="11286" max="11286" width="11.42578125" style="69" customWidth="1"/>
    <col min="11287" max="11287" width="12.7109375" style="69" customWidth="1"/>
    <col min="11288" max="11288" width="12.5703125" style="69" customWidth="1"/>
    <col min="11289" max="11289" width="9" style="69" hidden="1" customWidth="1"/>
    <col min="11290" max="11291" width="12.42578125" style="69" customWidth="1"/>
    <col min="11292" max="11292" width="12" style="69" customWidth="1"/>
    <col min="11293" max="11293" width="10.28515625" style="69" customWidth="1"/>
    <col min="11294" max="11294" width="14" style="69" customWidth="1"/>
    <col min="11295" max="11296" width="10.28515625" style="69" customWidth="1"/>
    <col min="11297" max="11297" width="12.7109375" style="69" customWidth="1"/>
    <col min="11298" max="11298" width="16.28515625" style="69" customWidth="1"/>
    <col min="11299" max="11530" width="9" style="69"/>
    <col min="11531" max="11531" width="6.85546875" style="69" customWidth="1"/>
    <col min="11532" max="11532" width="28.42578125" style="69" customWidth="1"/>
    <col min="11533" max="11533" width="7.7109375" style="69" customWidth="1"/>
    <col min="11534" max="11534" width="14.140625" style="69" customWidth="1"/>
    <col min="11535" max="11535" width="12" style="69" customWidth="1"/>
    <col min="11536" max="11536" width="13.7109375" style="69" customWidth="1"/>
    <col min="11537" max="11537" width="6.7109375" style="69" customWidth="1"/>
    <col min="11538" max="11538" width="11.7109375" style="69" customWidth="1"/>
    <col min="11539" max="11539" width="12.140625" style="69" customWidth="1"/>
    <col min="11540" max="11540" width="11.85546875" style="69" customWidth="1"/>
    <col min="11541" max="11541" width="13.85546875" style="69" customWidth="1"/>
    <col min="11542" max="11542" width="11.42578125" style="69" customWidth="1"/>
    <col min="11543" max="11543" width="12.7109375" style="69" customWidth="1"/>
    <col min="11544" max="11544" width="12.5703125" style="69" customWidth="1"/>
    <col min="11545" max="11545" width="9" style="69" hidden="1" customWidth="1"/>
    <col min="11546" max="11547" width="12.42578125" style="69" customWidth="1"/>
    <col min="11548" max="11548" width="12" style="69" customWidth="1"/>
    <col min="11549" max="11549" width="10.28515625" style="69" customWidth="1"/>
    <col min="11550" max="11550" width="14" style="69" customWidth="1"/>
    <col min="11551" max="11552" width="10.28515625" style="69" customWidth="1"/>
    <col min="11553" max="11553" width="12.7109375" style="69" customWidth="1"/>
    <col min="11554" max="11554" width="16.28515625" style="69" customWidth="1"/>
    <col min="11555" max="11786" width="9" style="69"/>
    <col min="11787" max="11787" width="6.85546875" style="69" customWidth="1"/>
    <col min="11788" max="11788" width="28.42578125" style="69" customWidth="1"/>
    <col min="11789" max="11789" width="7.7109375" style="69" customWidth="1"/>
    <col min="11790" max="11790" width="14.140625" style="69" customWidth="1"/>
    <col min="11791" max="11791" width="12" style="69" customWidth="1"/>
    <col min="11792" max="11792" width="13.7109375" style="69" customWidth="1"/>
    <col min="11793" max="11793" width="6.7109375" style="69" customWidth="1"/>
    <col min="11794" max="11794" width="11.7109375" style="69" customWidth="1"/>
    <col min="11795" max="11795" width="12.140625" style="69" customWidth="1"/>
    <col min="11796" max="11796" width="11.85546875" style="69" customWidth="1"/>
    <col min="11797" max="11797" width="13.85546875" style="69" customWidth="1"/>
    <col min="11798" max="11798" width="11.42578125" style="69" customWidth="1"/>
    <col min="11799" max="11799" width="12.7109375" style="69" customWidth="1"/>
    <col min="11800" max="11800" width="12.5703125" style="69" customWidth="1"/>
    <col min="11801" max="11801" width="9" style="69" hidden="1" customWidth="1"/>
    <col min="11802" max="11803" width="12.42578125" style="69" customWidth="1"/>
    <col min="11804" max="11804" width="12" style="69" customWidth="1"/>
    <col min="11805" max="11805" width="10.28515625" style="69" customWidth="1"/>
    <col min="11806" max="11806" width="14" style="69" customWidth="1"/>
    <col min="11807" max="11808" width="10.28515625" style="69" customWidth="1"/>
    <col min="11809" max="11809" width="12.7109375" style="69" customWidth="1"/>
    <col min="11810" max="11810" width="16.28515625" style="69" customWidth="1"/>
    <col min="11811" max="12042" width="9" style="69"/>
    <col min="12043" max="12043" width="6.85546875" style="69" customWidth="1"/>
    <col min="12044" max="12044" width="28.42578125" style="69" customWidth="1"/>
    <col min="12045" max="12045" width="7.7109375" style="69" customWidth="1"/>
    <col min="12046" max="12046" width="14.140625" style="69" customWidth="1"/>
    <col min="12047" max="12047" width="12" style="69" customWidth="1"/>
    <col min="12048" max="12048" width="13.7109375" style="69" customWidth="1"/>
    <col min="12049" max="12049" width="6.7109375" style="69" customWidth="1"/>
    <col min="12050" max="12050" width="11.7109375" style="69" customWidth="1"/>
    <col min="12051" max="12051" width="12.140625" style="69" customWidth="1"/>
    <col min="12052" max="12052" width="11.85546875" style="69" customWidth="1"/>
    <col min="12053" max="12053" width="13.85546875" style="69" customWidth="1"/>
    <col min="12054" max="12054" width="11.42578125" style="69" customWidth="1"/>
    <col min="12055" max="12055" width="12.7109375" style="69" customWidth="1"/>
    <col min="12056" max="12056" width="12.5703125" style="69" customWidth="1"/>
    <col min="12057" max="12057" width="9" style="69" hidden="1" customWidth="1"/>
    <col min="12058" max="12059" width="12.42578125" style="69" customWidth="1"/>
    <col min="12060" max="12060" width="12" style="69" customWidth="1"/>
    <col min="12061" max="12061" width="10.28515625" style="69" customWidth="1"/>
    <col min="12062" max="12062" width="14" style="69" customWidth="1"/>
    <col min="12063" max="12064" width="10.28515625" style="69" customWidth="1"/>
    <col min="12065" max="12065" width="12.7109375" style="69" customWidth="1"/>
    <col min="12066" max="12066" width="16.28515625" style="69" customWidth="1"/>
    <col min="12067" max="12298" width="9" style="69"/>
    <col min="12299" max="12299" width="6.85546875" style="69" customWidth="1"/>
    <col min="12300" max="12300" width="28.42578125" style="69" customWidth="1"/>
    <col min="12301" max="12301" width="7.7109375" style="69" customWidth="1"/>
    <col min="12302" max="12302" width="14.140625" style="69" customWidth="1"/>
    <col min="12303" max="12303" width="12" style="69" customWidth="1"/>
    <col min="12304" max="12304" width="13.7109375" style="69" customWidth="1"/>
    <col min="12305" max="12305" width="6.7109375" style="69" customWidth="1"/>
    <col min="12306" max="12306" width="11.7109375" style="69" customWidth="1"/>
    <col min="12307" max="12307" width="12.140625" style="69" customWidth="1"/>
    <col min="12308" max="12308" width="11.85546875" style="69" customWidth="1"/>
    <col min="12309" max="12309" width="13.85546875" style="69" customWidth="1"/>
    <col min="12310" max="12310" width="11.42578125" style="69" customWidth="1"/>
    <col min="12311" max="12311" width="12.7109375" style="69" customWidth="1"/>
    <col min="12312" max="12312" width="12.5703125" style="69" customWidth="1"/>
    <col min="12313" max="12313" width="9" style="69" hidden="1" customWidth="1"/>
    <col min="12314" max="12315" width="12.42578125" style="69" customWidth="1"/>
    <col min="12316" max="12316" width="12" style="69" customWidth="1"/>
    <col min="12317" max="12317" width="10.28515625" style="69" customWidth="1"/>
    <col min="12318" max="12318" width="14" style="69" customWidth="1"/>
    <col min="12319" max="12320" width="10.28515625" style="69" customWidth="1"/>
    <col min="12321" max="12321" width="12.7109375" style="69" customWidth="1"/>
    <col min="12322" max="12322" width="16.28515625" style="69" customWidth="1"/>
    <col min="12323" max="12554" width="9" style="69"/>
    <col min="12555" max="12555" width="6.85546875" style="69" customWidth="1"/>
    <col min="12556" max="12556" width="28.42578125" style="69" customWidth="1"/>
    <col min="12557" max="12557" width="7.7109375" style="69" customWidth="1"/>
    <col min="12558" max="12558" width="14.140625" style="69" customWidth="1"/>
    <col min="12559" max="12559" width="12" style="69" customWidth="1"/>
    <col min="12560" max="12560" width="13.7109375" style="69" customWidth="1"/>
    <col min="12561" max="12561" width="6.7109375" style="69" customWidth="1"/>
    <col min="12562" max="12562" width="11.7109375" style="69" customWidth="1"/>
    <col min="12563" max="12563" width="12.140625" style="69" customWidth="1"/>
    <col min="12564" max="12564" width="11.85546875" style="69" customWidth="1"/>
    <col min="12565" max="12565" width="13.85546875" style="69" customWidth="1"/>
    <col min="12566" max="12566" width="11.42578125" style="69" customWidth="1"/>
    <col min="12567" max="12567" width="12.7109375" style="69" customWidth="1"/>
    <col min="12568" max="12568" width="12.5703125" style="69" customWidth="1"/>
    <col min="12569" max="12569" width="9" style="69" hidden="1" customWidth="1"/>
    <col min="12570" max="12571" width="12.42578125" style="69" customWidth="1"/>
    <col min="12572" max="12572" width="12" style="69" customWidth="1"/>
    <col min="12573" max="12573" width="10.28515625" style="69" customWidth="1"/>
    <col min="12574" max="12574" width="14" style="69" customWidth="1"/>
    <col min="12575" max="12576" width="10.28515625" style="69" customWidth="1"/>
    <col min="12577" max="12577" width="12.7109375" style="69" customWidth="1"/>
    <col min="12578" max="12578" width="16.28515625" style="69" customWidth="1"/>
    <col min="12579" max="12810" width="9" style="69"/>
    <col min="12811" max="12811" width="6.85546875" style="69" customWidth="1"/>
    <col min="12812" max="12812" width="28.42578125" style="69" customWidth="1"/>
    <col min="12813" max="12813" width="7.7109375" style="69" customWidth="1"/>
    <col min="12814" max="12814" width="14.140625" style="69" customWidth="1"/>
    <col min="12815" max="12815" width="12" style="69" customWidth="1"/>
    <col min="12816" max="12816" width="13.7109375" style="69" customWidth="1"/>
    <col min="12817" max="12817" width="6.7109375" style="69" customWidth="1"/>
    <col min="12818" max="12818" width="11.7109375" style="69" customWidth="1"/>
    <col min="12819" max="12819" width="12.140625" style="69" customWidth="1"/>
    <col min="12820" max="12820" width="11.85546875" style="69" customWidth="1"/>
    <col min="12821" max="12821" width="13.85546875" style="69" customWidth="1"/>
    <col min="12822" max="12822" width="11.42578125" style="69" customWidth="1"/>
    <col min="12823" max="12823" width="12.7109375" style="69" customWidth="1"/>
    <col min="12824" max="12824" width="12.5703125" style="69" customWidth="1"/>
    <col min="12825" max="12825" width="9" style="69" hidden="1" customWidth="1"/>
    <col min="12826" max="12827" width="12.42578125" style="69" customWidth="1"/>
    <col min="12828" max="12828" width="12" style="69" customWidth="1"/>
    <col min="12829" max="12829" width="10.28515625" style="69" customWidth="1"/>
    <col min="12830" max="12830" width="14" style="69" customWidth="1"/>
    <col min="12831" max="12832" width="10.28515625" style="69" customWidth="1"/>
    <col min="12833" max="12833" width="12.7109375" style="69" customWidth="1"/>
    <col min="12834" max="12834" width="16.28515625" style="69" customWidth="1"/>
    <col min="12835" max="13066" width="9" style="69"/>
    <col min="13067" max="13067" width="6.85546875" style="69" customWidth="1"/>
    <col min="13068" max="13068" width="28.42578125" style="69" customWidth="1"/>
    <col min="13069" max="13069" width="7.7109375" style="69" customWidth="1"/>
    <col min="13070" max="13070" width="14.140625" style="69" customWidth="1"/>
    <col min="13071" max="13071" width="12" style="69" customWidth="1"/>
    <col min="13072" max="13072" width="13.7109375" style="69" customWidth="1"/>
    <col min="13073" max="13073" width="6.7109375" style="69" customWidth="1"/>
    <col min="13074" max="13074" width="11.7109375" style="69" customWidth="1"/>
    <col min="13075" max="13075" width="12.140625" style="69" customWidth="1"/>
    <col min="13076" max="13076" width="11.85546875" style="69" customWidth="1"/>
    <col min="13077" max="13077" width="13.85546875" style="69" customWidth="1"/>
    <col min="13078" max="13078" width="11.42578125" style="69" customWidth="1"/>
    <col min="13079" max="13079" width="12.7109375" style="69" customWidth="1"/>
    <col min="13080" max="13080" width="12.5703125" style="69" customWidth="1"/>
    <col min="13081" max="13081" width="9" style="69" hidden="1" customWidth="1"/>
    <col min="13082" max="13083" width="12.42578125" style="69" customWidth="1"/>
    <col min="13084" max="13084" width="12" style="69" customWidth="1"/>
    <col min="13085" max="13085" width="10.28515625" style="69" customWidth="1"/>
    <col min="13086" max="13086" width="14" style="69" customWidth="1"/>
    <col min="13087" max="13088" width="10.28515625" style="69" customWidth="1"/>
    <col min="13089" max="13089" width="12.7109375" style="69" customWidth="1"/>
    <col min="13090" max="13090" width="16.28515625" style="69" customWidth="1"/>
    <col min="13091" max="13322" width="9" style="69"/>
    <col min="13323" max="13323" width="6.85546875" style="69" customWidth="1"/>
    <col min="13324" max="13324" width="28.42578125" style="69" customWidth="1"/>
    <col min="13325" max="13325" width="7.7109375" style="69" customWidth="1"/>
    <col min="13326" max="13326" width="14.140625" style="69" customWidth="1"/>
    <col min="13327" max="13327" width="12" style="69" customWidth="1"/>
    <col min="13328" max="13328" width="13.7109375" style="69" customWidth="1"/>
    <col min="13329" max="13329" width="6.7109375" style="69" customWidth="1"/>
    <col min="13330" max="13330" width="11.7109375" style="69" customWidth="1"/>
    <col min="13331" max="13331" width="12.140625" style="69" customWidth="1"/>
    <col min="13332" max="13332" width="11.85546875" style="69" customWidth="1"/>
    <col min="13333" max="13333" width="13.85546875" style="69" customWidth="1"/>
    <col min="13334" max="13334" width="11.42578125" style="69" customWidth="1"/>
    <col min="13335" max="13335" width="12.7109375" style="69" customWidth="1"/>
    <col min="13336" max="13336" width="12.5703125" style="69" customWidth="1"/>
    <col min="13337" max="13337" width="9" style="69" hidden="1" customWidth="1"/>
    <col min="13338" max="13339" width="12.42578125" style="69" customWidth="1"/>
    <col min="13340" max="13340" width="12" style="69" customWidth="1"/>
    <col min="13341" max="13341" width="10.28515625" style="69" customWidth="1"/>
    <col min="13342" max="13342" width="14" style="69" customWidth="1"/>
    <col min="13343" max="13344" width="10.28515625" style="69" customWidth="1"/>
    <col min="13345" max="13345" width="12.7109375" style="69" customWidth="1"/>
    <col min="13346" max="13346" width="16.28515625" style="69" customWidth="1"/>
    <col min="13347" max="13578" width="9" style="69"/>
    <col min="13579" max="13579" width="6.85546875" style="69" customWidth="1"/>
    <col min="13580" max="13580" width="28.42578125" style="69" customWidth="1"/>
    <col min="13581" max="13581" width="7.7109375" style="69" customWidth="1"/>
    <col min="13582" max="13582" width="14.140625" style="69" customWidth="1"/>
    <col min="13583" max="13583" width="12" style="69" customWidth="1"/>
    <col min="13584" max="13584" width="13.7109375" style="69" customWidth="1"/>
    <col min="13585" max="13585" width="6.7109375" style="69" customWidth="1"/>
    <col min="13586" max="13586" width="11.7109375" style="69" customWidth="1"/>
    <col min="13587" max="13587" width="12.140625" style="69" customWidth="1"/>
    <col min="13588" max="13588" width="11.85546875" style="69" customWidth="1"/>
    <col min="13589" max="13589" width="13.85546875" style="69" customWidth="1"/>
    <col min="13590" max="13590" width="11.42578125" style="69" customWidth="1"/>
    <col min="13591" max="13591" width="12.7109375" style="69" customWidth="1"/>
    <col min="13592" max="13592" width="12.5703125" style="69" customWidth="1"/>
    <col min="13593" max="13593" width="9" style="69" hidden="1" customWidth="1"/>
    <col min="13594" max="13595" width="12.42578125" style="69" customWidth="1"/>
    <col min="13596" max="13596" width="12" style="69" customWidth="1"/>
    <col min="13597" max="13597" width="10.28515625" style="69" customWidth="1"/>
    <col min="13598" max="13598" width="14" style="69" customWidth="1"/>
    <col min="13599" max="13600" width="10.28515625" style="69" customWidth="1"/>
    <col min="13601" max="13601" width="12.7109375" style="69" customWidth="1"/>
    <col min="13602" max="13602" width="16.28515625" style="69" customWidth="1"/>
    <col min="13603" max="13834" width="9" style="69"/>
    <col min="13835" max="13835" width="6.85546875" style="69" customWidth="1"/>
    <col min="13836" max="13836" width="28.42578125" style="69" customWidth="1"/>
    <col min="13837" max="13837" width="7.7109375" style="69" customWidth="1"/>
    <col min="13838" max="13838" width="14.140625" style="69" customWidth="1"/>
    <col min="13839" max="13839" width="12" style="69" customWidth="1"/>
    <col min="13840" max="13840" width="13.7109375" style="69" customWidth="1"/>
    <col min="13841" max="13841" width="6.7109375" style="69" customWidth="1"/>
    <col min="13842" max="13842" width="11.7109375" style="69" customWidth="1"/>
    <col min="13843" max="13843" width="12.140625" style="69" customWidth="1"/>
    <col min="13844" max="13844" width="11.85546875" style="69" customWidth="1"/>
    <col min="13845" max="13845" width="13.85546875" style="69" customWidth="1"/>
    <col min="13846" max="13846" width="11.42578125" style="69" customWidth="1"/>
    <col min="13847" max="13847" width="12.7109375" style="69" customWidth="1"/>
    <col min="13848" max="13848" width="12.5703125" style="69" customWidth="1"/>
    <col min="13849" max="13849" width="9" style="69" hidden="1" customWidth="1"/>
    <col min="13850" max="13851" width="12.42578125" style="69" customWidth="1"/>
    <col min="13852" max="13852" width="12" style="69" customWidth="1"/>
    <col min="13853" max="13853" width="10.28515625" style="69" customWidth="1"/>
    <col min="13854" max="13854" width="14" style="69" customWidth="1"/>
    <col min="13855" max="13856" width="10.28515625" style="69" customWidth="1"/>
    <col min="13857" max="13857" width="12.7109375" style="69" customWidth="1"/>
    <col min="13858" max="13858" width="16.28515625" style="69" customWidth="1"/>
    <col min="13859" max="14090" width="9" style="69"/>
    <col min="14091" max="14091" width="6.85546875" style="69" customWidth="1"/>
    <col min="14092" max="14092" width="28.42578125" style="69" customWidth="1"/>
    <col min="14093" max="14093" width="7.7109375" style="69" customWidth="1"/>
    <col min="14094" max="14094" width="14.140625" style="69" customWidth="1"/>
    <col min="14095" max="14095" width="12" style="69" customWidth="1"/>
    <col min="14096" max="14096" width="13.7109375" style="69" customWidth="1"/>
    <col min="14097" max="14097" width="6.7109375" style="69" customWidth="1"/>
    <col min="14098" max="14098" width="11.7109375" style="69" customWidth="1"/>
    <col min="14099" max="14099" width="12.140625" style="69" customWidth="1"/>
    <col min="14100" max="14100" width="11.85546875" style="69" customWidth="1"/>
    <col min="14101" max="14101" width="13.85546875" style="69" customWidth="1"/>
    <col min="14102" max="14102" width="11.42578125" style="69" customWidth="1"/>
    <col min="14103" max="14103" width="12.7109375" style="69" customWidth="1"/>
    <col min="14104" max="14104" width="12.5703125" style="69" customWidth="1"/>
    <col min="14105" max="14105" width="9" style="69" hidden="1" customWidth="1"/>
    <col min="14106" max="14107" width="12.42578125" style="69" customWidth="1"/>
    <col min="14108" max="14108" width="12" style="69" customWidth="1"/>
    <col min="14109" max="14109" width="10.28515625" style="69" customWidth="1"/>
    <col min="14110" max="14110" width="14" style="69" customWidth="1"/>
    <col min="14111" max="14112" width="10.28515625" style="69" customWidth="1"/>
    <col min="14113" max="14113" width="12.7109375" style="69" customWidth="1"/>
    <col min="14114" max="14114" width="16.28515625" style="69" customWidth="1"/>
    <col min="14115" max="14346" width="9" style="69"/>
    <col min="14347" max="14347" width="6.85546875" style="69" customWidth="1"/>
    <col min="14348" max="14348" width="28.42578125" style="69" customWidth="1"/>
    <col min="14349" max="14349" width="7.7109375" style="69" customWidth="1"/>
    <col min="14350" max="14350" width="14.140625" style="69" customWidth="1"/>
    <col min="14351" max="14351" width="12" style="69" customWidth="1"/>
    <col min="14352" max="14352" width="13.7109375" style="69" customWidth="1"/>
    <col min="14353" max="14353" width="6.7109375" style="69" customWidth="1"/>
    <col min="14354" max="14354" width="11.7109375" style="69" customWidth="1"/>
    <col min="14355" max="14355" width="12.140625" style="69" customWidth="1"/>
    <col min="14356" max="14356" width="11.85546875" style="69" customWidth="1"/>
    <col min="14357" max="14357" width="13.85546875" style="69" customWidth="1"/>
    <col min="14358" max="14358" width="11.42578125" style="69" customWidth="1"/>
    <col min="14359" max="14359" width="12.7109375" style="69" customWidth="1"/>
    <col min="14360" max="14360" width="12.5703125" style="69" customWidth="1"/>
    <col min="14361" max="14361" width="9" style="69" hidden="1" customWidth="1"/>
    <col min="14362" max="14363" width="12.42578125" style="69" customWidth="1"/>
    <col min="14364" max="14364" width="12" style="69" customWidth="1"/>
    <col min="14365" max="14365" width="10.28515625" style="69" customWidth="1"/>
    <col min="14366" max="14366" width="14" style="69" customWidth="1"/>
    <col min="14367" max="14368" width="10.28515625" style="69" customWidth="1"/>
    <col min="14369" max="14369" width="12.7109375" style="69" customWidth="1"/>
    <col min="14370" max="14370" width="16.28515625" style="69" customWidth="1"/>
    <col min="14371" max="14602" width="9" style="69"/>
    <col min="14603" max="14603" width="6.85546875" style="69" customWidth="1"/>
    <col min="14604" max="14604" width="28.42578125" style="69" customWidth="1"/>
    <col min="14605" max="14605" width="7.7109375" style="69" customWidth="1"/>
    <col min="14606" max="14606" width="14.140625" style="69" customWidth="1"/>
    <col min="14607" max="14607" width="12" style="69" customWidth="1"/>
    <col min="14608" max="14608" width="13.7109375" style="69" customWidth="1"/>
    <col min="14609" max="14609" width="6.7109375" style="69" customWidth="1"/>
    <col min="14610" max="14610" width="11.7109375" style="69" customWidth="1"/>
    <col min="14611" max="14611" width="12.140625" style="69" customWidth="1"/>
    <col min="14612" max="14612" width="11.85546875" style="69" customWidth="1"/>
    <col min="14613" max="14613" width="13.85546875" style="69" customWidth="1"/>
    <col min="14614" max="14614" width="11.42578125" style="69" customWidth="1"/>
    <col min="14615" max="14615" width="12.7109375" style="69" customWidth="1"/>
    <col min="14616" max="14616" width="12.5703125" style="69" customWidth="1"/>
    <col min="14617" max="14617" width="9" style="69" hidden="1" customWidth="1"/>
    <col min="14618" max="14619" width="12.42578125" style="69" customWidth="1"/>
    <col min="14620" max="14620" width="12" style="69" customWidth="1"/>
    <col min="14621" max="14621" width="10.28515625" style="69" customWidth="1"/>
    <col min="14622" max="14622" width="14" style="69" customWidth="1"/>
    <col min="14623" max="14624" width="10.28515625" style="69" customWidth="1"/>
    <col min="14625" max="14625" width="12.7109375" style="69" customWidth="1"/>
    <col min="14626" max="14626" width="16.28515625" style="69" customWidth="1"/>
    <col min="14627" max="14858" width="9" style="69"/>
    <col min="14859" max="14859" width="6.85546875" style="69" customWidth="1"/>
    <col min="14860" max="14860" width="28.42578125" style="69" customWidth="1"/>
    <col min="14861" max="14861" width="7.7109375" style="69" customWidth="1"/>
    <col min="14862" max="14862" width="14.140625" style="69" customWidth="1"/>
    <col min="14863" max="14863" width="12" style="69" customWidth="1"/>
    <col min="14864" max="14864" width="13.7109375" style="69" customWidth="1"/>
    <col min="14865" max="14865" width="6.7109375" style="69" customWidth="1"/>
    <col min="14866" max="14866" width="11.7109375" style="69" customWidth="1"/>
    <col min="14867" max="14867" width="12.140625" style="69" customWidth="1"/>
    <col min="14868" max="14868" width="11.85546875" style="69" customWidth="1"/>
    <col min="14869" max="14869" width="13.85546875" style="69" customWidth="1"/>
    <col min="14870" max="14870" width="11.42578125" style="69" customWidth="1"/>
    <col min="14871" max="14871" width="12.7109375" style="69" customWidth="1"/>
    <col min="14872" max="14872" width="12.5703125" style="69" customWidth="1"/>
    <col min="14873" max="14873" width="9" style="69" hidden="1" customWidth="1"/>
    <col min="14874" max="14875" width="12.42578125" style="69" customWidth="1"/>
    <col min="14876" max="14876" width="12" style="69" customWidth="1"/>
    <col min="14877" max="14877" width="10.28515625" style="69" customWidth="1"/>
    <col min="14878" max="14878" width="14" style="69" customWidth="1"/>
    <col min="14879" max="14880" width="10.28515625" style="69" customWidth="1"/>
    <col min="14881" max="14881" width="12.7109375" style="69" customWidth="1"/>
    <col min="14882" max="14882" width="16.28515625" style="69" customWidth="1"/>
    <col min="14883" max="15114" width="9" style="69"/>
    <col min="15115" max="15115" width="6.85546875" style="69" customWidth="1"/>
    <col min="15116" max="15116" width="28.42578125" style="69" customWidth="1"/>
    <col min="15117" max="15117" width="7.7109375" style="69" customWidth="1"/>
    <col min="15118" max="15118" width="14.140625" style="69" customWidth="1"/>
    <col min="15119" max="15119" width="12" style="69" customWidth="1"/>
    <col min="15120" max="15120" width="13.7109375" style="69" customWidth="1"/>
    <col min="15121" max="15121" width="6.7109375" style="69" customWidth="1"/>
    <col min="15122" max="15122" width="11.7109375" style="69" customWidth="1"/>
    <col min="15123" max="15123" width="12.140625" style="69" customWidth="1"/>
    <col min="15124" max="15124" width="11.85546875" style="69" customWidth="1"/>
    <col min="15125" max="15125" width="13.85546875" style="69" customWidth="1"/>
    <col min="15126" max="15126" width="11.42578125" style="69" customWidth="1"/>
    <col min="15127" max="15127" width="12.7109375" style="69" customWidth="1"/>
    <col min="15128" max="15128" width="12.5703125" style="69" customWidth="1"/>
    <col min="15129" max="15129" width="9" style="69" hidden="1" customWidth="1"/>
    <col min="15130" max="15131" width="12.42578125" style="69" customWidth="1"/>
    <col min="15132" max="15132" width="12" style="69" customWidth="1"/>
    <col min="15133" max="15133" width="10.28515625" style="69" customWidth="1"/>
    <col min="15134" max="15134" width="14" style="69" customWidth="1"/>
    <col min="15135" max="15136" width="10.28515625" style="69" customWidth="1"/>
    <col min="15137" max="15137" width="12.7109375" style="69" customWidth="1"/>
    <col min="15138" max="15138" width="16.28515625" style="69" customWidth="1"/>
    <col min="15139" max="15370" width="9" style="69"/>
    <col min="15371" max="15371" width="6.85546875" style="69" customWidth="1"/>
    <col min="15372" max="15372" width="28.42578125" style="69" customWidth="1"/>
    <col min="15373" max="15373" width="7.7109375" style="69" customWidth="1"/>
    <col min="15374" max="15374" width="14.140625" style="69" customWidth="1"/>
    <col min="15375" max="15375" width="12" style="69" customWidth="1"/>
    <col min="15376" max="15376" width="13.7109375" style="69" customWidth="1"/>
    <col min="15377" max="15377" width="6.7109375" style="69" customWidth="1"/>
    <col min="15378" max="15378" width="11.7109375" style="69" customWidth="1"/>
    <col min="15379" max="15379" width="12.140625" style="69" customWidth="1"/>
    <col min="15380" max="15380" width="11.85546875" style="69" customWidth="1"/>
    <col min="15381" max="15381" width="13.85546875" style="69" customWidth="1"/>
    <col min="15382" max="15382" width="11.42578125" style="69" customWidth="1"/>
    <col min="15383" max="15383" width="12.7109375" style="69" customWidth="1"/>
    <col min="15384" max="15384" width="12.5703125" style="69" customWidth="1"/>
    <col min="15385" max="15385" width="9" style="69" hidden="1" customWidth="1"/>
    <col min="15386" max="15387" width="12.42578125" style="69" customWidth="1"/>
    <col min="15388" max="15388" width="12" style="69" customWidth="1"/>
    <col min="15389" max="15389" width="10.28515625" style="69" customWidth="1"/>
    <col min="15390" max="15390" width="14" style="69" customWidth="1"/>
    <col min="15391" max="15392" width="10.28515625" style="69" customWidth="1"/>
    <col min="15393" max="15393" width="12.7109375" style="69" customWidth="1"/>
    <col min="15394" max="15394" width="16.28515625" style="69" customWidth="1"/>
    <col min="15395" max="15626" width="9" style="69"/>
    <col min="15627" max="15627" width="6.85546875" style="69" customWidth="1"/>
    <col min="15628" max="15628" width="28.42578125" style="69" customWidth="1"/>
    <col min="15629" max="15629" width="7.7109375" style="69" customWidth="1"/>
    <col min="15630" max="15630" width="14.140625" style="69" customWidth="1"/>
    <col min="15631" max="15631" width="12" style="69" customWidth="1"/>
    <col min="15632" max="15632" width="13.7109375" style="69" customWidth="1"/>
    <col min="15633" max="15633" width="6.7109375" style="69" customWidth="1"/>
    <col min="15634" max="15634" width="11.7109375" style="69" customWidth="1"/>
    <col min="15635" max="15635" width="12.140625" style="69" customWidth="1"/>
    <col min="15636" max="15636" width="11.85546875" style="69" customWidth="1"/>
    <col min="15637" max="15637" width="13.85546875" style="69" customWidth="1"/>
    <col min="15638" max="15638" width="11.42578125" style="69" customWidth="1"/>
    <col min="15639" max="15639" width="12.7109375" style="69" customWidth="1"/>
    <col min="15640" max="15640" width="12.5703125" style="69" customWidth="1"/>
    <col min="15641" max="15641" width="9" style="69" hidden="1" customWidth="1"/>
    <col min="15642" max="15643" width="12.42578125" style="69" customWidth="1"/>
    <col min="15644" max="15644" width="12" style="69" customWidth="1"/>
    <col min="15645" max="15645" width="10.28515625" style="69" customWidth="1"/>
    <col min="15646" max="15646" width="14" style="69" customWidth="1"/>
    <col min="15647" max="15648" width="10.28515625" style="69" customWidth="1"/>
    <col min="15649" max="15649" width="12.7109375" style="69" customWidth="1"/>
    <col min="15650" max="15650" width="16.28515625" style="69" customWidth="1"/>
    <col min="15651" max="15882" width="9" style="69"/>
    <col min="15883" max="15883" width="6.85546875" style="69" customWidth="1"/>
    <col min="15884" max="15884" width="28.42578125" style="69" customWidth="1"/>
    <col min="15885" max="15885" width="7.7109375" style="69" customWidth="1"/>
    <col min="15886" max="15886" width="14.140625" style="69" customWidth="1"/>
    <col min="15887" max="15887" width="12" style="69" customWidth="1"/>
    <col min="15888" max="15888" width="13.7109375" style="69" customWidth="1"/>
    <col min="15889" max="15889" width="6.7109375" style="69" customWidth="1"/>
    <col min="15890" max="15890" width="11.7109375" style="69" customWidth="1"/>
    <col min="15891" max="15891" width="12.140625" style="69" customWidth="1"/>
    <col min="15892" max="15892" width="11.85546875" style="69" customWidth="1"/>
    <col min="15893" max="15893" width="13.85546875" style="69" customWidth="1"/>
    <col min="15894" max="15894" width="11.42578125" style="69" customWidth="1"/>
    <col min="15895" max="15895" width="12.7109375" style="69" customWidth="1"/>
    <col min="15896" max="15896" width="12.5703125" style="69" customWidth="1"/>
    <col min="15897" max="15897" width="9" style="69" hidden="1" customWidth="1"/>
    <col min="15898" max="15899" width="12.42578125" style="69" customWidth="1"/>
    <col min="15900" max="15900" width="12" style="69" customWidth="1"/>
    <col min="15901" max="15901" width="10.28515625" style="69" customWidth="1"/>
    <col min="15902" max="15902" width="14" style="69" customWidth="1"/>
    <col min="15903" max="15904" width="10.28515625" style="69" customWidth="1"/>
    <col min="15905" max="15905" width="12.7109375" style="69" customWidth="1"/>
    <col min="15906" max="15906" width="16.28515625" style="69" customWidth="1"/>
    <col min="15907" max="16138" width="9" style="69"/>
    <col min="16139" max="16139" width="6.85546875" style="69" customWidth="1"/>
    <col min="16140" max="16140" width="28.42578125" style="69" customWidth="1"/>
    <col min="16141" max="16141" width="7.7109375" style="69" customWidth="1"/>
    <col min="16142" max="16142" width="14.140625" style="69" customWidth="1"/>
    <col min="16143" max="16143" width="12" style="69" customWidth="1"/>
    <col min="16144" max="16144" width="13.7109375" style="69" customWidth="1"/>
    <col min="16145" max="16145" width="6.7109375" style="69" customWidth="1"/>
    <col min="16146" max="16146" width="11.7109375" style="69" customWidth="1"/>
    <col min="16147" max="16147" width="12.140625" style="69" customWidth="1"/>
    <col min="16148" max="16148" width="11.85546875" style="69" customWidth="1"/>
    <col min="16149" max="16149" width="13.85546875" style="69" customWidth="1"/>
    <col min="16150" max="16150" width="11.42578125" style="69" customWidth="1"/>
    <col min="16151" max="16151" width="12.7109375" style="69" customWidth="1"/>
    <col min="16152" max="16152" width="12.5703125" style="69" customWidth="1"/>
    <col min="16153" max="16153" width="9" style="69" hidden="1" customWidth="1"/>
    <col min="16154" max="16155" width="12.42578125" style="69" customWidth="1"/>
    <col min="16156" max="16156" width="12" style="69" customWidth="1"/>
    <col min="16157" max="16157" width="10.28515625" style="69" customWidth="1"/>
    <col min="16158" max="16158" width="14" style="69" customWidth="1"/>
    <col min="16159" max="16160" width="10.28515625" style="69" customWidth="1"/>
    <col min="16161" max="16161" width="12.7109375" style="69" customWidth="1"/>
    <col min="16162" max="16162" width="16.28515625" style="69" customWidth="1"/>
    <col min="16163" max="16384" width="9" style="69"/>
  </cols>
  <sheetData>
    <row r="1" spans="1:36" s="61" customFormat="1" ht="14.25">
      <c r="A1" s="61" t="s">
        <v>16</v>
      </c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F1" s="64"/>
      <c r="AG1" s="64"/>
    </row>
    <row r="2" spans="1:36" s="61" customFormat="1" ht="14.25">
      <c r="A2" s="61" t="s">
        <v>17</v>
      </c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F2" s="64"/>
      <c r="AG2" s="64"/>
    </row>
    <row r="3" spans="1:36" s="61" customFormat="1" ht="14.25"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F3" s="64"/>
      <c r="AG3" s="64"/>
      <c r="AH3" s="65"/>
      <c r="AI3" s="65"/>
    </row>
    <row r="4" spans="1:36" s="61" customFormat="1" ht="14.25"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F4" s="64"/>
      <c r="AG4" s="64"/>
      <c r="AH4" s="66"/>
      <c r="AI4" s="66"/>
    </row>
    <row r="5" spans="1:36" s="67" customFormat="1" ht="15.75">
      <c r="E5" s="425" t="s">
        <v>91</v>
      </c>
      <c r="F5" s="426"/>
      <c r="G5" s="426"/>
      <c r="H5" s="426"/>
      <c r="I5" s="426"/>
      <c r="J5" s="426"/>
      <c r="K5" s="426"/>
      <c r="L5" s="426"/>
      <c r="M5" s="426"/>
      <c r="N5" s="426"/>
      <c r="O5" s="426"/>
      <c r="P5" s="426"/>
      <c r="Q5" s="426"/>
      <c r="R5" s="426"/>
      <c r="S5" s="426"/>
      <c r="T5" s="426"/>
      <c r="U5" s="426"/>
      <c r="V5" s="426"/>
      <c r="W5" s="426"/>
      <c r="X5" s="426"/>
      <c r="Y5" s="426"/>
      <c r="Z5" s="426"/>
      <c r="AA5" s="426"/>
      <c r="AB5" s="426"/>
      <c r="AC5" s="426"/>
      <c r="AD5" s="426"/>
      <c r="AE5" s="426"/>
      <c r="AF5" s="426"/>
      <c r="AG5" s="426"/>
      <c r="AH5" s="426"/>
      <c r="AI5" s="110"/>
    </row>
    <row r="6" spans="1:36" s="61" customFormat="1" ht="15" customHeight="1">
      <c r="E6" s="68"/>
      <c r="F6" s="68"/>
      <c r="G6" s="68"/>
      <c r="H6" s="68"/>
      <c r="I6" s="68"/>
      <c r="J6" s="68"/>
      <c r="K6" s="68"/>
      <c r="L6" s="68"/>
      <c r="M6" s="68"/>
      <c r="N6" s="68"/>
      <c r="O6" s="68"/>
      <c r="P6" s="68"/>
      <c r="Q6" s="68"/>
      <c r="R6" s="68"/>
      <c r="S6" s="431" t="s">
        <v>127</v>
      </c>
      <c r="T6" s="431"/>
      <c r="U6" s="431"/>
      <c r="V6" s="68"/>
      <c r="W6" s="68"/>
      <c r="X6" s="68"/>
      <c r="Y6" s="68"/>
      <c r="Z6" s="68"/>
      <c r="AA6" s="68"/>
      <c r="AB6" s="68"/>
      <c r="AC6" s="68"/>
      <c r="AD6" s="68"/>
      <c r="AE6" s="68"/>
      <c r="AF6" s="68"/>
      <c r="AG6" s="68"/>
      <c r="AH6" s="68"/>
      <c r="AI6" s="68"/>
    </row>
    <row r="7" spans="1:36" s="100" customFormat="1" ht="20.25" customHeight="1">
      <c r="A7" s="95"/>
      <c r="B7" s="95"/>
      <c r="C7" s="439" t="s">
        <v>52</v>
      </c>
      <c r="D7" s="439"/>
      <c r="E7" s="96">
        <v>26</v>
      </c>
      <c r="F7" s="97"/>
      <c r="G7" s="97"/>
      <c r="H7" s="97"/>
      <c r="I7" s="97"/>
      <c r="J7" s="97"/>
      <c r="K7" s="97"/>
      <c r="L7" s="97"/>
      <c r="M7" s="97"/>
      <c r="N7" s="97"/>
      <c r="O7" s="97"/>
      <c r="P7" s="98"/>
      <c r="Q7" s="98"/>
      <c r="R7" s="98"/>
      <c r="S7" s="98"/>
      <c r="T7" s="98"/>
      <c r="U7" s="98"/>
      <c r="V7" s="98"/>
      <c r="W7" s="98"/>
      <c r="X7" s="98"/>
      <c r="Y7" s="98"/>
      <c r="Z7" s="98"/>
      <c r="AA7" s="95"/>
      <c r="AB7" s="95"/>
      <c r="AC7" s="95"/>
      <c r="AD7" s="95"/>
      <c r="AE7" s="95"/>
      <c r="AF7" s="99"/>
      <c r="AG7" s="99"/>
      <c r="AH7" s="95"/>
      <c r="AI7" s="95"/>
    </row>
    <row r="8" spans="1:36" s="83" customFormat="1" ht="23.25" customHeight="1">
      <c r="A8" s="432" t="s">
        <v>0</v>
      </c>
      <c r="B8" s="436" t="s">
        <v>74</v>
      </c>
      <c r="C8" s="432" t="s">
        <v>53</v>
      </c>
      <c r="D8" s="433" t="s">
        <v>54</v>
      </c>
      <c r="E8" s="427" t="s">
        <v>2</v>
      </c>
      <c r="F8" s="427" t="s">
        <v>55</v>
      </c>
      <c r="G8" s="427" t="s">
        <v>71</v>
      </c>
      <c r="H8" s="427" t="s">
        <v>72</v>
      </c>
      <c r="I8" s="427" t="s">
        <v>84</v>
      </c>
      <c r="J8" s="427" t="s">
        <v>56</v>
      </c>
      <c r="K8" s="428" t="s">
        <v>83</v>
      </c>
      <c r="L8" s="428" t="s">
        <v>73</v>
      </c>
      <c r="M8" s="428" t="s">
        <v>57</v>
      </c>
      <c r="N8" s="428" t="s">
        <v>58</v>
      </c>
      <c r="O8" s="428" t="s">
        <v>59</v>
      </c>
      <c r="P8" s="428" t="s">
        <v>60</v>
      </c>
      <c r="Q8" s="428" t="s">
        <v>85</v>
      </c>
      <c r="R8" s="428" t="s">
        <v>92</v>
      </c>
      <c r="S8" s="428" t="s">
        <v>37</v>
      </c>
      <c r="T8" s="428" t="s">
        <v>61</v>
      </c>
      <c r="U8" s="429" t="s">
        <v>62</v>
      </c>
      <c r="V8" s="428" t="s">
        <v>63</v>
      </c>
      <c r="W8" s="428" t="s">
        <v>126</v>
      </c>
      <c r="X8" s="428" t="s">
        <v>104</v>
      </c>
      <c r="Y8" s="428" t="s">
        <v>105</v>
      </c>
      <c r="Z8" s="428" t="s">
        <v>64</v>
      </c>
      <c r="AA8" s="428" t="s">
        <v>65</v>
      </c>
      <c r="AB8" s="429" t="s">
        <v>66</v>
      </c>
      <c r="AC8" s="428" t="s">
        <v>67</v>
      </c>
      <c r="AD8" s="429" t="s">
        <v>76</v>
      </c>
      <c r="AE8" s="429" t="s">
        <v>68</v>
      </c>
      <c r="AF8" s="429" t="s">
        <v>69</v>
      </c>
      <c r="AG8" s="429" t="s">
        <v>99</v>
      </c>
      <c r="AH8" s="428" t="s">
        <v>70</v>
      </c>
      <c r="AI8" s="428" t="s">
        <v>88</v>
      </c>
      <c r="AJ8" s="428" t="s">
        <v>86</v>
      </c>
    </row>
    <row r="9" spans="1:36" s="83" customFormat="1" ht="30" customHeight="1">
      <c r="A9" s="432"/>
      <c r="B9" s="437"/>
      <c r="C9" s="432"/>
      <c r="D9" s="434"/>
      <c r="E9" s="427"/>
      <c r="F9" s="427"/>
      <c r="G9" s="427"/>
      <c r="H9" s="427"/>
      <c r="I9" s="427"/>
      <c r="J9" s="427"/>
      <c r="K9" s="428"/>
      <c r="L9" s="428"/>
      <c r="M9" s="428"/>
      <c r="N9" s="428"/>
      <c r="O9" s="428"/>
      <c r="P9" s="428"/>
      <c r="Q9" s="428"/>
      <c r="R9" s="428"/>
      <c r="S9" s="428"/>
      <c r="T9" s="428"/>
      <c r="U9" s="430"/>
      <c r="V9" s="428"/>
      <c r="W9" s="428"/>
      <c r="X9" s="428"/>
      <c r="Y9" s="428"/>
      <c r="Z9" s="428"/>
      <c r="AA9" s="428"/>
      <c r="AB9" s="430"/>
      <c r="AC9" s="428"/>
      <c r="AD9" s="430"/>
      <c r="AE9" s="430"/>
      <c r="AF9" s="430"/>
      <c r="AG9" s="430"/>
      <c r="AH9" s="428"/>
      <c r="AI9" s="428"/>
      <c r="AJ9" s="428"/>
    </row>
    <row r="10" spans="1:36" s="87" customFormat="1" ht="17.25" customHeight="1">
      <c r="A10" s="432"/>
      <c r="B10" s="438"/>
      <c r="C10" s="432"/>
      <c r="D10" s="435"/>
      <c r="E10" s="84"/>
      <c r="F10" s="85"/>
      <c r="G10" s="85"/>
      <c r="H10" s="85"/>
      <c r="I10" s="85"/>
      <c r="J10" s="85"/>
      <c r="K10" s="86">
        <v>1</v>
      </c>
      <c r="L10" s="85">
        <v>2</v>
      </c>
      <c r="M10" s="86">
        <v>3</v>
      </c>
      <c r="N10" s="85">
        <v>4</v>
      </c>
      <c r="O10" s="86">
        <v>5</v>
      </c>
      <c r="P10" s="85">
        <v>6</v>
      </c>
      <c r="Q10" s="107">
        <v>7</v>
      </c>
      <c r="R10" s="85">
        <v>8</v>
      </c>
      <c r="S10" s="149">
        <v>9</v>
      </c>
      <c r="T10" s="85">
        <v>10</v>
      </c>
      <c r="U10" s="149">
        <v>11</v>
      </c>
      <c r="V10" s="85">
        <v>12</v>
      </c>
      <c r="W10" s="149">
        <v>13</v>
      </c>
      <c r="X10" s="85">
        <v>14</v>
      </c>
      <c r="Y10" s="149">
        <v>15</v>
      </c>
      <c r="Z10" s="85">
        <v>16</v>
      </c>
      <c r="AA10" s="149">
        <v>17</v>
      </c>
      <c r="AB10" s="85">
        <v>18</v>
      </c>
      <c r="AC10" s="149">
        <v>19</v>
      </c>
      <c r="AD10" s="85">
        <v>20</v>
      </c>
      <c r="AE10" s="149">
        <v>21</v>
      </c>
      <c r="AF10" s="85">
        <v>22</v>
      </c>
      <c r="AG10" s="149">
        <v>23</v>
      </c>
      <c r="AH10" s="85">
        <v>24</v>
      </c>
      <c r="AI10" s="149">
        <v>25</v>
      </c>
      <c r="AJ10" s="85">
        <v>26</v>
      </c>
    </row>
    <row r="11" spans="1:36" s="100" customFormat="1" ht="26.25" customHeight="1">
      <c r="A11" s="120">
        <v>1</v>
      </c>
      <c r="B11" s="88" t="s">
        <v>77</v>
      </c>
      <c r="C11" s="89" t="s">
        <v>78</v>
      </c>
      <c r="D11" s="121">
        <v>43891</v>
      </c>
      <c r="E11" s="90" t="s">
        <v>89</v>
      </c>
      <c r="F11" s="122">
        <f>$E$7</f>
        <v>26</v>
      </c>
      <c r="G11" s="123">
        <f>VLOOKUP(C11,'BẢNG CÔNG '!$B$6:$AN$31,39,FALSE)-I11-H11</f>
        <v>26</v>
      </c>
      <c r="H11" s="124"/>
      <c r="I11" s="124">
        <f>VLOOKUP(C11,'BẢNG CÔNG '!$B$6:$AK$6,36,FALSE)/8</f>
        <v>0</v>
      </c>
      <c r="J11" s="125">
        <f>H11+G11+I11</f>
        <v>26</v>
      </c>
      <c r="K11" s="126">
        <v>5860000</v>
      </c>
      <c r="L11" s="126">
        <v>3700000</v>
      </c>
      <c r="M11" s="126">
        <v>500000</v>
      </c>
      <c r="N11" s="127">
        <f>SUM(K11:M11)</f>
        <v>10060000</v>
      </c>
      <c r="O11" s="128">
        <f>N11/F11*G11</f>
        <v>10060000</v>
      </c>
      <c r="P11" s="128">
        <f>85%*N11/F11*H11</f>
        <v>0</v>
      </c>
      <c r="Q11" s="128">
        <f>K11/$E$7*I11</f>
        <v>0</v>
      </c>
      <c r="R11" s="128">
        <f>K11/$E$7*VLOOKUP(C11,'BẢNG CÔNG '!$B$6:$AL$70,37,FALSE)*300%</f>
        <v>0</v>
      </c>
      <c r="S11" s="129">
        <f>VLOOKUP(C11,'BẢNG CÔNG '!$B$6:$AP$31,41,FALSE)</f>
        <v>350000</v>
      </c>
      <c r="T11" s="129">
        <f>VLOOKUP(C11,'HOA HỒNG '!$B$12:$J$56,9,FALSE)</f>
        <v>6889745.0000000009</v>
      </c>
      <c r="U11" s="130">
        <f>VLOOKUP(B11,[4]Lương!$C$9:$AM$55, 37, FALSE)</f>
        <v>0</v>
      </c>
      <c r="V11" s="128">
        <f>VLOOKUP(C11,'TĂNG CA'!$B$6:$AR$30,43,FALSE)</f>
        <v>211298.07692307694</v>
      </c>
      <c r="W11" s="130">
        <f>VLOOKUP(B11, [4]Lương!$C$9:$AN$15, 38, FALSE)</f>
        <v>0</v>
      </c>
      <c r="X11" s="130">
        <f>VLOOKUP(B11,[4]Lương!$C$9:$AP$18,39,FALSE)</f>
        <v>0</v>
      </c>
      <c r="Y11" s="130">
        <f>VLOOKUP(B11, [4]Lương!$C$9:$AP$15, 40, FALSE)</f>
        <v>0</v>
      </c>
      <c r="Z11" s="128">
        <f>SUM(O11:Y11)</f>
        <v>17511043.076923076</v>
      </c>
      <c r="AA11" s="130">
        <f>VLOOKUP(B11,[4]Lương!$C$9:$BB$25,43,FALSE)</f>
        <v>0</v>
      </c>
      <c r="AB11" s="130">
        <f>VLOOKUP(B11,[4]Lương!$C$9:$BB$25,45,FALSE)</f>
        <v>0</v>
      </c>
      <c r="AC11" s="130">
        <f>VLOOKUP(B11,[4]Lương!$C$9:$BB$25,50,FALSE)</f>
        <v>0</v>
      </c>
      <c r="AD11" s="130">
        <f>VLOOKUP(B11,[4]Lương!$C$9:$BB$25,51,FALSE)</f>
        <v>0</v>
      </c>
      <c r="AE11" s="131">
        <f>VLOOKUP(B11,[4]Lương!$C$9:$BB$25,52,FALSE)</f>
        <v>0</v>
      </c>
      <c r="AF11" s="132">
        <f>SUM(AA11:AE11)</f>
        <v>0</v>
      </c>
      <c r="AG11" s="133">
        <f>VLOOKUP(B11,[4]Lương!$C$9:$CC$25,54,FALSE)</f>
        <v>0</v>
      </c>
      <c r="AH11" s="134">
        <f>ROUND((Z11-AF11+AG11),0)</f>
        <v>17511043</v>
      </c>
      <c r="AI11" s="134">
        <f>AH11-U11-W11</f>
        <v>17511043</v>
      </c>
      <c r="AJ11" s="135"/>
    </row>
    <row r="12" spans="1:36" s="100" customFormat="1" ht="26.25" customHeight="1">
      <c r="A12" s="120">
        <v>2</v>
      </c>
      <c r="B12" s="253" t="s">
        <v>119</v>
      </c>
      <c r="C12" s="254" t="s">
        <v>118</v>
      </c>
      <c r="D12" s="255">
        <v>44358</v>
      </c>
      <c r="E12" s="90" t="s">
        <v>111</v>
      </c>
      <c r="F12" s="122">
        <f t="shared" ref="F12:F16" si="0">$E$7</f>
        <v>26</v>
      </c>
      <c r="G12" s="123">
        <f>VLOOKUP(C12,'BẢNG CÔNG '!$B$6:$AN$31,39,FALSE)-I12-H12</f>
        <v>26</v>
      </c>
      <c r="H12" s="136"/>
      <c r="I12" s="124">
        <f>VLOOKUP(C12,'BẢNG CÔNG '!$B$6:$AK$31,36,FALSE)/8</f>
        <v>0</v>
      </c>
      <c r="J12" s="125">
        <f>H12+G12+I12</f>
        <v>26</v>
      </c>
      <c r="K12" s="126">
        <v>5310000</v>
      </c>
      <c r="L12" s="126">
        <v>1750000</v>
      </c>
      <c r="M12" s="126">
        <v>500000</v>
      </c>
      <c r="N12" s="127">
        <f t="shared" ref="N12" si="1">SUM(K12:M12)</f>
        <v>7560000</v>
      </c>
      <c r="O12" s="128">
        <f>N12/F12*G12</f>
        <v>7560000</v>
      </c>
      <c r="P12" s="128">
        <f>85%*N12/F12*H12</f>
        <v>0</v>
      </c>
      <c r="Q12" s="128">
        <f>K12/$E$7*I12</f>
        <v>0</v>
      </c>
      <c r="R12" s="128">
        <f>K12/$E$7*VLOOKUP(C12,'BẢNG CÔNG '!$B$6:$AL$70,37,FALSE)*300%</f>
        <v>0</v>
      </c>
      <c r="S12" s="129">
        <f>VLOOKUP(C12,'BẢNG CÔNG '!$B$6:$AP$31,41,FALSE)</f>
        <v>350000</v>
      </c>
      <c r="T12" s="129" t="e">
        <f>VLOOKUP(C12,'HOA HỒNG '!$B$12:$J$56,9,FALSE)</f>
        <v>#DIV/0!</v>
      </c>
      <c r="U12" s="130">
        <v>0</v>
      </c>
      <c r="V12" s="128">
        <f>VLOOKUP(C12,'TĂNG CA'!$B$6:$AR$30,43,FALSE)</f>
        <v>459519.23076923075</v>
      </c>
      <c r="W12" s="130">
        <f>VLOOKUP(B12, [4]Lương!$C$9:$AN$15, 38, FALSE)</f>
        <v>0</v>
      </c>
      <c r="X12" s="130">
        <f>VLOOKUP(B12,[4]Lương!$C$9:$AP$18,39,FALSE)</f>
        <v>0</v>
      </c>
      <c r="Y12" s="130">
        <f>VLOOKUP(B12, [4]Lương!$C$9:$AP$15, 40, FALSE)</f>
        <v>0</v>
      </c>
      <c r="Z12" s="128" t="e">
        <f t="shared" ref="Z12" si="2">SUM(O12:Y12)</f>
        <v>#DIV/0!</v>
      </c>
      <c r="AA12" s="130">
        <f>VLOOKUP(B12,[4]Lương!$C$9:$BB$25,43,FALSE)</f>
        <v>0</v>
      </c>
      <c r="AB12" s="130">
        <f>VLOOKUP(B12,[4]Lương!$C$9:$BB$25,45,FALSE)</f>
        <v>0</v>
      </c>
      <c r="AC12" s="130" t="e">
        <f>VLOOKUP(B12,[4]Lương!$C$9:$BB$25,50,FALSE)</f>
        <v>#DIV/0!</v>
      </c>
      <c r="AD12" s="130">
        <f>VLOOKUP(B12,[4]Lương!$C$9:$BB$25,51,FALSE)</f>
        <v>0</v>
      </c>
      <c r="AE12" s="131">
        <f>VLOOKUP(B12,[4]Lương!$C$9:$BB$25,52,FALSE)</f>
        <v>0</v>
      </c>
      <c r="AF12" s="132" t="e">
        <f t="shared" ref="AF12" si="3">SUM(AA12:AE12)</f>
        <v>#DIV/0!</v>
      </c>
      <c r="AG12" s="133">
        <f>VLOOKUP(B12,[4]Lương!$C$9:$CC$25,54,FALSE)</f>
        <v>0</v>
      </c>
      <c r="AH12" s="134" t="e">
        <f t="shared" ref="AH12" si="4">ROUND((Z12-AF12+AG12),0)</f>
        <v>#DIV/0!</v>
      </c>
      <c r="AI12" s="134" t="e">
        <f t="shared" ref="AI12:AI13" si="5">AH12-U12-W12</f>
        <v>#DIV/0!</v>
      </c>
      <c r="AJ12" s="256"/>
    </row>
    <row r="13" spans="1:36" s="152" customFormat="1" ht="26.25" customHeight="1">
      <c r="A13" s="120">
        <v>3</v>
      </c>
      <c r="B13" s="90" t="s">
        <v>106</v>
      </c>
      <c r="C13" s="91" t="s">
        <v>107</v>
      </c>
      <c r="D13" s="121">
        <v>45638</v>
      </c>
      <c r="E13" s="90" t="s">
        <v>111</v>
      </c>
      <c r="F13" s="122">
        <f t="shared" si="0"/>
        <v>26</v>
      </c>
      <c r="G13" s="123">
        <f>VLOOKUP(C13,'BẢNG CÔNG '!$B$6:$AN$31,39,FALSE)-I13-H13</f>
        <v>26</v>
      </c>
      <c r="H13" s="136"/>
      <c r="I13" s="124">
        <f>VLOOKUP(C13,'BẢNG CÔNG '!$B$6:$AK$31,36,FALSE)/8</f>
        <v>0</v>
      </c>
      <c r="J13" s="125">
        <f t="shared" ref="J13" si="6">H13+G13+I13</f>
        <v>26</v>
      </c>
      <c r="K13" s="126">
        <v>5310000</v>
      </c>
      <c r="L13" s="126">
        <v>1750000</v>
      </c>
      <c r="M13" s="126">
        <v>500000</v>
      </c>
      <c r="N13" s="127">
        <f t="shared" ref="N13:N16" si="7">SUM(K13:M13)</f>
        <v>7560000</v>
      </c>
      <c r="O13" s="128">
        <f t="shared" ref="O13" si="8">N13/F13*G13</f>
        <v>7560000</v>
      </c>
      <c r="P13" s="128">
        <f t="shared" ref="P13" si="9">85%*N13/F13*H13</f>
        <v>0</v>
      </c>
      <c r="Q13" s="128">
        <f t="shared" ref="Q13" si="10">K13/$E$7*I13</f>
        <v>0</v>
      </c>
      <c r="R13" s="128">
        <f>K13/$E$7*VLOOKUP(C13,'BẢNG CÔNG '!$B$6:$AL$70,37,FALSE)*300%</f>
        <v>0</v>
      </c>
      <c r="S13" s="129">
        <f>VLOOKUP(C13,'BẢNG CÔNG '!$B$6:$AP$31,41,FALSE)</f>
        <v>350000</v>
      </c>
      <c r="T13" s="129" t="e">
        <f>VLOOKUP(C13,'HOA HỒNG '!$B$12:$J$56,9,FALSE)</f>
        <v>#DIV/0!</v>
      </c>
      <c r="U13" s="130">
        <f>VLOOKUP(B13,[4]Lương!$C$9:$AM$55, 37, FALSE)</f>
        <v>0</v>
      </c>
      <c r="V13" s="128">
        <f>VLOOKUP(C13,'TĂNG CA'!$B$6:$AR$30,43,FALSE)</f>
        <v>421225.9615384615</v>
      </c>
      <c r="W13" s="130">
        <f>VLOOKUP(B13, [4]Lương!$C$9:$AN$15, 38, FALSE)</f>
        <v>0</v>
      </c>
      <c r="X13" s="130">
        <f>VLOOKUP(B13,[4]Lương!$C$9:$AP$18,39,FALSE)</f>
        <v>0</v>
      </c>
      <c r="Y13" s="130">
        <f>VLOOKUP(B13, [4]Lương!$C$9:$AP$15, 40, FALSE)</f>
        <v>0</v>
      </c>
      <c r="Z13" s="128" t="e">
        <f t="shared" ref="Z13" si="11">SUM(O13:Y13)</f>
        <v>#DIV/0!</v>
      </c>
      <c r="AA13" s="130">
        <f>VLOOKUP(B13,[4]Lương!$C$9:$BB$25,43,FALSE)</f>
        <v>0</v>
      </c>
      <c r="AB13" s="130">
        <f>VLOOKUP(B13,[4]Lương!$C$9:$BB$25,45,FALSE)</f>
        <v>0</v>
      </c>
      <c r="AC13" s="130" t="e">
        <f>VLOOKUP(B13,[4]Lương!$C$9:$BB$25,50,FALSE)</f>
        <v>#DIV/0!</v>
      </c>
      <c r="AD13" s="130">
        <f>VLOOKUP(B13,[4]Lương!$C$9:$BB$25,51,FALSE)</f>
        <v>0</v>
      </c>
      <c r="AE13" s="131">
        <f>VLOOKUP(B13,[4]Lương!$C$9:$BB$25,52,FALSE)</f>
        <v>0</v>
      </c>
      <c r="AF13" s="132" t="e">
        <f t="shared" ref="AF13" si="12">SUM(AA13:AE13)</f>
        <v>#DIV/0!</v>
      </c>
      <c r="AG13" s="133">
        <f>VLOOKUP(B13,[4]Lương!$C$9:$CC$25,54,FALSE)</f>
        <v>0</v>
      </c>
      <c r="AH13" s="134" t="e">
        <f t="shared" ref="AH13" si="13">ROUND((Z13-AF13+AG13),0)</f>
        <v>#DIV/0!</v>
      </c>
      <c r="AI13" s="134" t="e">
        <f t="shared" si="5"/>
        <v>#DIV/0!</v>
      </c>
      <c r="AJ13" s="135"/>
    </row>
    <row r="14" spans="1:36" s="152" customFormat="1" ht="26.25" customHeight="1">
      <c r="A14" s="120">
        <v>4</v>
      </c>
      <c r="B14" s="253" t="s">
        <v>122</v>
      </c>
      <c r="C14" s="254" t="s">
        <v>121</v>
      </c>
      <c r="D14" s="255">
        <v>46143</v>
      </c>
      <c r="E14" s="253" t="s">
        <v>108</v>
      </c>
      <c r="F14" s="122">
        <f t="shared" si="0"/>
        <v>26</v>
      </c>
      <c r="G14" s="123">
        <f>VLOOKUP(C14,'BẢNG CÔNG '!$B$6:$AN$31,39,FALSE)-I14-H14</f>
        <v>26</v>
      </c>
      <c r="H14" s="136"/>
      <c r="I14" s="124">
        <f>VLOOKUP(C14,'BẢNG CÔNG '!$B$6:$AK$31,36,FALSE)/8</f>
        <v>0</v>
      </c>
      <c r="J14" s="125">
        <f t="shared" ref="J14:J16" si="14">H14+G14+I14</f>
        <v>26</v>
      </c>
      <c r="K14" s="257">
        <v>5310000</v>
      </c>
      <c r="L14" s="257">
        <v>1050000</v>
      </c>
      <c r="M14" s="257">
        <v>500000</v>
      </c>
      <c r="N14" s="127">
        <f t="shared" si="7"/>
        <v>6860000</v>
      </c>
      <c r="O14" s="128">
        <f t="shared" ref="O14:O16" si="15">N14/F14*G14</f>
        <v>6860000.0000000009</v>
      </c>
      <c r="P14" s="128">
        <f t="shared" ref="P14" si="16">85%*N14/F14*H14</f>
        <v>0</v>
      </c>
      <c r="Q14" s="128">
        <f t="shared" ref="Q14" si="17">K14/$E$7*I14</f>
        <v>0</v>
      </c>
      <c r="R14" s="128">
        <f>K14/$E$7*VLOOKUP(C14,'BẢNG CÔNG '!$B$6:$AL$70,37,FALSE)*300%</f>
        <v>0</v>
      </c>
      <c r="S14" s="129">
        <f>VLOOKUP(C14,'BẢNG CÔNG '!$B$6:$AP$31,41,FALSE)</f>
        <v>350000</v>
      </c>
      <c r="T14" s="129" t="e">
        <f>VLOOKUP(C14,'HOA HỒNG '!$B$12:$J$56,9,FALSE)</f>
        <v>#DIV/0!</v>
      </c>
      <c r="U14" s="130">
        <f>VLOOKUP(B14,[4]Lương!$C$9:$AM$55, 37, FALSE)</f>
        <v>0</v>
      </c>
      <c r="V14" s="128">
        <f>VLOOKUP(C14,'TĂNG CA'!$B$6:$AR$30,43,FALSE)</f>
        <v>382932.69230769231</v>
      </c>
      <c r="W14" s="130">
        <f>VLOOKUP(B14, [4]Lương!$C$9:$AN$15, 38, FALSE)</f>
        <v>0</v>
      </c>
      <c r="X14" s="130">
        <f>VLOOKUP(B14,[4]Lương!$C$9:$AP$18,39,FALSE)</f>
        <v>0</v>
      </c>
      <c r="Y14" s="130">
        <f>VLOOKUP(B14, [4]Lương!$C$9:$AP$15, 40, FALSE)</f>
        <v>0</v>
      </c>
      <c r="Z14" s="128" t="e">
        <f t="shared" ref="Z14:Z16" si="18">SUM(O14:Y14)</f>
        <v>#DIV/0!</v>
      </c>
      <c r="AA14" s="130">
        <f>VLOOKUP(B14,[4]Lương!$C$9:$BB$25,43,FALSE)</f>
        <v>0</v>
      </c>
      <c r="AB14" s="130">
        <f>VLOOKUP(B14,[4]Lương!$C$9:$BB$25,45,FALSE)</f>
        <v>0</v>
      </c>
      <c r="AC14" s="130" t="e">
        <f>VLOOKUP(B14,[4]Lương!$C$9:$BB$25,50,FALSE)</f>
        <v>#DIV/0!</v>
      </c>
      <c r="AD14" s="130">
        <f>VLOOKUP(B14,[4]Lương!$C$9:$BB$25,51,FALSE)</f>
        <v>0</v>
      </c>
      <c r="AE14" s="131">
        <f>VLOOKUP(B14,[4]Lương!$C$9:$BB$25,52,FALSE)</f>
        <v>700000</v>
      </c>
      <c r="AF14" s="132" t="e">
        <f t="shared" ref="AF14" si="19">SUM(AA14:AE14)</f>
        <v>#DIV/0!</v>
      </c>
      <c r="AG14" s="133">
        <f>VLOOKUP(B14,[4]Lương!$C$9:$CC$25,54,FALSE)</f>
        <v>0</v>
      </c>
      <c r="AH14" s="134" t="e">
        <f t="shared" ref="AH14" si="20">ROUND((Z14-AF14+AG14),0)</f>
        <v>#DIV/0!</v>
      </c>
      <c r="AI14" s="134" t="e">
        <f>AH14-U14-W14</f>
        <v>#DIV/0!</v>
      </c>
      <c r="AJ14" s="256"/>
    </row>
    <row r="15" spans="1:36" s="152" customFormat="1" ht="26.25" customHeight="1">
      <c r="A15" s="120">
        <v>5</v>
      </c>
      <c r="B15" s="253" t="s">
        <v>124</v>
      </c>
      <c r="C15" s="254" t="s">
        <v>123</v>
      </c>
      <c r="D15" s="255">
        <v>46143</v>
      </c>
      <c r="E15" s="253" t="s">
        <v>108</v>
      </c>
      <c r="F15" s="122">
        <f t="shared" si="0"/>
        <v>26</v>
      </c>
      <c r="G15" s="123">
        <f>VLOOKUP(C15,'BẢNG CÔNG '!$B$6:$AN$31,39,FALSE)-I15-H15</f>
        <v>26</v>
      </c>
      <c r="H15" s="136"/>
      <c r="I15" s="124">
        <f>VLOOKUP(C15,'BẢNG CÔNG '!$B$6:$AK$31,36,FALSE)/8</f>
        <v>0</v>
      </c>
      <c r="J15" s="125">
        <f t="shared" si="14"/>
        <v>26</v>
      </c>
      <c r="K15" s="257">
        <v>5310000</v>
      </c>
      <c r="L15" s="257">
        <v>1050000</v>
      </c>
      <c r="M15" s="257">
        <v>500000</v>
      </c>
      <c r="N15" s="127">
        <f t="shared" si="7"/>
        <v>6860000</v>
      </c>
      <c r="O15" s="128">
        <f t="shared" si="15"/>
        <v>6860000.0000000009</v>
      </c>
      <c r="P15" s="128">
        <f t="shared" ref="P15:P16" si="21">85%*N15/F15*H15</f>
        <v>0</v>
      </c>
      <c r="Q15" s="128">
        <f t="shared" ref="Q15:Q16" si="22">K15/$E$7*I15</f>
        <v>0</v>
      </c>
      <c r="R15" s="128">
        <f>K15/$E$7*VLOOKUP(C15,'BẢNG CÔNG '!$B$6:$AL$70,37,FALSE)*300%</f>
        <v>0</v>
      </c>
      <c r="S15" s="129">
        <f>VLOOKUP(C15,'BẢNG CÔNG '!$B$6:$AP$31,41,FALSE)</f>
        <v>350000</v>
      </c>
      <c r="T15" s="129" t="e">
        <f>VLOOKUP(C15,'HOA HỒNG '!$B$12:$J$56,9,FALSE)</f>
        <v>#DIV/0!</v>
      </c>
      <c r="U15" s="130">
        <f>VLOOKUP(B15,[4]Lương!$C$9:$AM$55, 37, FALSE)</f>
        <v>0</v>
      </c>
      <c r="V15" s="128">
        <f>VLOOKUP(C15,'TĂNG CA'!$B$6:$AR$30,43,FALSE)</f>
        <v>191466.34615384616</v>
      </c>
      <c r="W15" s="130">
        <f>VLOOKUP(B15, [4]Lương!$C$9:$AN$15, 38, FALSE)</f>
        <v>0</v>
      </c>
      <c r="X15" s="130">
        <f>VLOOKUP(B15,[4]Lương!$C$9:$AP$18,39,FALSE)</f>
        <v>0</v>
      </c>
      <c r="Y15" s="130">
        <f>VLOOKUP(B15, [4]Lương!$C$9:$AP$15, 40, FALSE)</f>
        <v>0</v>
      </c>
      <c r="Z15" s="128" t="e">
        <f t="shared" si="18"/>
        <v>#DIV/0!</v>
      </c>
      <c r="AA15" s="130">
        <f>VLOOKUP(B15,[4]Lương!$C$9:$BB$25,43,FALSE)</f>
        <v>0</v>
      </c>
      <c r="AB15" s="130">
        <f>VLOOKUP(B15,[4]Lương!$C$9:$BB$25,45,FALSE)</f>
        <v>0</v>
      </c>
      <c r="AC15" s="130" t="e">
        <f>VLOOKUP(B15,[4]Lương!$C$9:$BB$25,50,FALSE)</f>
        <v>#DIV/0!</v>
      </c>
      <c r="AD15" s="130">
        <f>VLOOKUP(B15,[4]Lương!$C$9:$BB$25,51,FALSE)</f>
        <v>0</v>
      </c>
      <c r="AE15" s="131">
        <f>VLOOKUP(B15,[4]Lương!$C$9:$BB$25,52,FALSE)</f>
        <v>700000</v>
      </c>
      <c r="AF15" s="132" t="e">
        <f>SUM(AA15:AE15)</f>
        <v>#DIV/0!</v>
      </c>
      <c r="AG15" s="133">
        <f>VLOOKUP(B15,[4]Lương!$C$9:$CC$25,54,FALSE)</f>
        <v>0</v>
      </c>
      <c r="AH15" s="134" t="e">
        <f>ROUND((Z15-AF15+AG15),0)</f>
        <v>#DIV/0!</v>
      </c>
      <c r="AI15" s="134" t="e">
        <f>AH15-U15-W15</f>
        <v>#DIV/0!</v>
      </c>
      <c r="AJ15" s="256"/>
    </row>
    <row r="16" spans="1:36" s="349" customFormat="1" ht="26.25" customHeight="1">
      <c r="A16" s="330">
        <v>6</v>
      </c>
      <c r="B16" s="331" t="s">
        <v>136</v>
      </c>
      <c r="C16" s="332" t="s">
        <v>135</v>
      </c>
      <c r="D16" s="333">
        <v>46188</v>
      </c>
      <c r="E16" s="331" t="s">
        <v>108</v>
      </c>
      <c r="F16" s="334">
        <f t="shared" si="0"/>
        <v>26</v>
      </c>
      <c r="G16" s="335">
        <f>VLOOKUP(C16,'BẢNG CÔNG '!$B$6:$AN$31,39,FALSE)-I16-H16</f>
        <v>14</v>
      </c>
      <c r="H16" s="336"/>
      <c r="I16" s="337">
        <f>VLOOKUP(C16,'BẢNG CÔNG '!$B$6:$AK$31,36,FALSE)/8</f>
        <v>0</v>
      </c>
      <c r="J16" s="338">
        <f t="shared" si="14"/>
        <v>14</v>
      </c>
      <c r="K16" s="339">
        <v>5310000</v>
      </c>
      <c r="L16" s="339">
        <v>1050000</v>
      </c>
      <c r="M16" s="339">
        <v>500000</v>
      </c>
      <c r="N16" s="340">
        <f t="shared" si="7"/>
        <v>6860000</v>
      </c>
      <c r="O16" s="341">
        <f t="shared" si="15"/>
        <v>3693846.153846154</v>
      </c>
      <c r="P16" s="341">
        <f t="shared" si="21"/>
        <v>0</v>
      </c>
      <c r="Q16" s="341">
        <f t="shared" si="22"/>
        <v>0</v>
      </c>
      <c r="R16" s="341">
        <f>K16/$E$7*VLOOKUP(C16,'BẢNG CÔNG '!$B$6:$AL$70,37,FALSE)*300%</f>
        <v>0</v>
      </c>
      <c r="S16" s="342">
        <f>VLOOKUP(C16,'BẢNG CÔNG '!$B$6:$AP$31,41,FALSE)</f>
        <v>188461.53846153844</v>
      </c>
      <c r="T16" s="342" t="e">
        <f>VLOOKUP(C16,'HOA HỒNG '!$B$12:$J$56,9,FALSE)</f>
        <v>#DIV/0!</v>
      </c>
      <c r="U16" s="343">
        <f>VLOOKUP(B16,[4]Lương!$C$9:$AM$55, 37, FALSE)</f>
        <v>0</v>
      </c>
      <c r="V16" s="341">
        <f>VLOOKUP(C16,'TĂNG CA'!$B$6:$AR$30,43,FALSE)</f>
        <v>0</v>
      </c>
      <c r="W16" s="343">
        <f>VLOOKUP(B16, [4]Lương!$C$9:$AN$15, 38, FALSE)</f>
        <v>0</v>
      </c>
      <c r="X16" s="343">
        <f>VLOOKUP(B16,[4]Lương!$C$9:$AP$18,39,FALSE)</f>
        <v>0</v>
      </c>
      <c r="Y16" s="343">
        <f>VLOOKUP(B16, [4]Lương!$C$9:$AP$15, 40, FALSE)</f>
        <v>0</v>
      </c>
      <c r="Z16" s="341" t="e">
        <f t="shared" si="18"/>
        <v>#DIV/0!</v>
      </c>
      <c r="AA16" s="343">
        <f>VLOOKUP(B16,[4]Lương!$C$9:$BB$25,43,FALSE)</f>
        <v>0</v>
      </c>
      <c r="AB16" s="343">
        <f>VLOOKUP(B16,[4]Lương!$C$9:$BB$25,45,FALSE)</f>
        <v>0</v>
      </c>
      <c r="AC16" s="343" t="e">
        <f>VLOOKUP(B16,[4]Lương!$C$9:$BB$25,50,FALSE)</f>
        <v>#DIV/0!</v>
      </c>
      <c r="AD16" s="343">
        <f>VLOOKUP(B16,[4]Lương!$C$9:$BB$25,51,FALSE)</f>
        <v>0</v>
      </c>
      <c r="AE16" s="344">
        <f>VLOOKUP(B16,[4]Lương!$C$9:$BB$25,52,FALSE)</f>
        <v>0</v>
      </c>
      <c r="AF16" s="345" t="e">
        <f>SUM(AA16:AE16)</f>
        <v>#DIV/0!</v>
      </c>
      <c r="AG16" s="346">
        <f>VLOOKUP(B16,[4]Lương!$C$9:$CC$25,54,FALSE)</f>
        <v>0</v>
      </c>
      <c r="AH16" s="347" t="e">
        <f>ROUND((Z16-AF16+AG16),0)</f>
        <v>#DIV/0!</v>
      </c>
      <c r="AI16" s="347" t="e">
        <f>AH16-U16-W16</f>
        <v>#DIV/0!</v>
      </c>
      <c r="AJ16" s="348"/>
    </row>
    <row r="17" spans="1:36" s="141" customFormat="1" ht="26.25" customHeight="1">
      <c r="A17" s="137"/>
      <c r="B17" s="137"/>
      <c r="C17" s="137" t="s">
        <v>26</v>
      </c>
      <c r="D17" s="138"/>
      <c r="E17" s="139"/>
      <c r="F17" s="139"/>
      <c r="G17" s="139"/>
      <c r="H17" s="139"/>
      <c r="I17" s="139"/>
      <c r="J17" s="139"/>
      <c r="K17" s="140">
        <f>SUM(K11:K16)</f>
        <v>32410000</v>
      </c>
      <c r="L17" s="140">
        <f t="shared" ref="L17:AI17" si="23">SUM(L11:L16)</f>
        <v>10350000</v>
      </c>
      <c r="M17" s="140">
        <f t="shared" si="23"/>
        <v>3000000</v>
      </c>
      <c r="N17" s="140">
        <f t="shared" si="23"/>
        <v>45760000</v>
      </c>
      <c r="O17" s="140">
        <f t="shared" si="23"/>
        <v>42593846.153846152</v>
      </c>
      <c r="P17" s="140">
        <f t="shared" si="23"/>
        <v>0</v>
      </c>
      <c r="Q17" s="140">
        <f t="shared" si="23"/>
        <v>0</v>
      </c>
      <c r="R17" s="140">
        <f t="shared" si="23"/>
        <v>0</v>
      </c>
      <c r="S17" s="140">
        <f t="shared" si="23"/>
        <v>1938461.5384615385</v>
      </c>
      <c r="T17" s="140" t="e">
        <f t="shared" si="23"/>
        <v>#DIV/0!</v>
      </c>
      <c r="U17" s="140">
        <f t="shared" si="23"/>
        <v>0</v>
      </c>
      <c r="V17" s="140">
        <f t="shared" si="23"/>
        <v>1666442.3076923077</v>
      </c>
      <c r="W17" s="140">
        <f t="shared" si="23"/>
        <v>0</v>
      </c>
      <c r="X17" s="140">
        <f t="shared" si="23"/>
        <v>0</v>
      </c>
      <c r="Y17" s="140">
        <f t="shared" si="23"/>
        <v>0</v>
      </c>
      <c r="Z17" s="140" t="e">
        <f t="shared" si="23"/>
        <v>#DIV/0!</v>
      </c>
      <c r="AA17" s="140">
        <f t="shared" si="23"/>
        <v>0</v>
      </c>
      <c r="AB17" s="140">
        <f t="shared" si="23"/>
        <v>0</v>
      </c>
      <c r="AC17" s="140" t="e">
        <f t="shared" si="23"/>
        <v>#DIV/0!</v>
      </c>
      <c r="AD17" s="140">
        <f t="shared" si="23"/>
        <v>0</v>
      </c>
      <c r="AE17" s="140">
        <f t="shared" si="23"/>
        <v>1400000</v>
      </c>
      <c r="AF17" s="140" t="e">
        <f t="shared" si="23"/>
        <v>#DIV/0!</v>
      </c>
      <c r="AG17" s="140">
        <f t="shared" si="23"/>
        <v>0</v>
      </c>
      <c r="AH17" s="140" t="e">
        <f t="shared" si="23"/>
        <v>#DIV/0!</v>
      </c>
      <c r="AI17" s="140" t="e">
        <f t="shared" si="23"/>
        <v>#DIV/0!</v>
      </c>
      <c r="AJ17" s="140"/>
    </row>
    <row r="18" spans="1:36">
      <c r="A18" s="73"/>
      <c r="B18" s="73"/>
      <c r="C18" s="73"/>
      <c r="D18" s="92"/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4"/>
      <c r="T18" s="74"/>
      <c r="U18" s="74"/>
      <c r="V18" s="150"/>
      <c r="W18" s="74"/>
      <c r="X18" s="74"/>
      <c r="Y18" s="74"/>
      <c r="Z18" s="74"/>
    </row>
    <row r="19" spans="1:36" s="72" customFormat="1">
      <c r="A19" s="75"/>
      <c r="B19" s="75"/>
      <c r="C19" s="73"/>
      <c r="D19" s="76"/>
      <c r="E19" s="76"/>
      <c r="F19" s="76"/>
      <c r="G19" s="76"/>
      <c r="H19" s="76"/>
      <c r="I19" s="76"/>
      <c r="J19" s="76"/>
      <c r="K19" s="76"/>
      <c r="L19" s="76"/>
      <c r="M19" s="76"/>
      <c r="N19" s="76"/>
      <c r="O19" s="76"/>
      <c r="P19" s="77"/>
      <c r="Q19" s="77"/>
      <c r="R19" s="77"/>
      <c r="S19" s="77"/>
      <c r="T19" s="71"/>
      <c r="U19" s="71"/>
      <c r="V19" s="71"/>
      <c r="W19" s="71"/>
      <c r="X19" s="71"/>
      <c r="Y19" s="71"/>
      <c r="Z19" s="71"/>
      <c r="AA19" s="69"/>
      <c r="AB19" s="69"/>
      <c r="AC19" s="69"/>
      <c r="AD19" s="69"/>
      <c r="AE19" s="69"/>
    </row>
    <row r="20" spans="1:36">
      <c r="A20" s="76"/>
      <c r="B20" s="76"/>
      <c r="C20" s="73"/>
      <c r="D20" s="239"/>
      <c r="E20" s="76"/>
      <c r="F20" s="76"/>
      <c r="G20" s="76"/>
      <c r="H20" s="76"/>
      <c r="I20" s="76"/>
      <c r="J20" s="76"/>
      <c r="K20" s="76"/>
      <c r="L20" s="76"/>
      <c r="M20" s="76"/>
      <c r="N20" s="76"/>
      <c r="O20" s="76"/>
      <c r="P20" s="77"/>
      <c r="Q20" s="77"/>
      <c r="R20" s="77"/>
    </row>
    <row r="21" spans="1:36" s="72" customFormat="1">
      <c r="A21" s="75"/>
      <c r="B21" s="75"/>
      <c r="C21" s="73"/>
      <c r="D21" s="238"/>
      <c r="E21" s="78"/>
      <c r="F21" s="78"/>
      <c r="G21" s="76"/>
      <c r="H21" s="76"/>
      <c r="I21" s="76"/>
      <c r="J21" s="76"/>
      <c r="K21" s="76"/>
      <c r="L21" s="76"/>
      <c r="M21" s="76"/>
      <c r="N21" s="76"/>
      <c r="O21" s="76"/>
      <c r="P21" s="77"/>
      <c r="Q21" s="77"/>
      <c r="R21" s="77"/>
      <c r="S21" s="71"/>
      <c r="T21" s="71"/>
      <c r="U21" s="71"/>
      <c r="V21" s="71"/>
      <c r="W21" s="71"/>
      <c r="X21" s="71"/>
      <c r="Y21" s="71"/>
      <c r="Z21" s="71"/>
      <c r="AA21" s="69"/>
      <c r="AB21" s="69"/>
      <c r="AC21" s="69"/>
      <c r="AD21" s="69"/>
      <c r="AE21" s="69"/>
    </row>
    <row r="22" spans="1:36" s="72" customFormat="1">
      <c r="A22" s="75"/>
      <c r="B22" s="75"/>
      <c r="C22" s="73"/>
      <c r="D22" s="78"/>
      <c r="E22" s="78"/>
      <c r="F22" s="78"/>
      <c r="G22" s="76"/>
      <c r="H22" s="76"/>
      <c r="I22" s="76"/>
      <c r="J22" s="76"/>
    </row>
    <row r="23" spans="1:36" s="72" customFormat="1">
      <c r="A23" s="75"/>
      <c r="B23" s="75"/>
      <c r="C23" s="73"/>
      <c r="D23" s="78"/>
      <c r="E23" s="78"/>
      <c r="F23" s="78"/>
      <c r="G23" s="79"/>
      <c r="H23" s="79"/>
      <c r="I23" s="79"/>
      <c r="J23" s="79"/>
      <c r="K23" s="79"/>
      <c r="L23" s="76"/>
      <c r="M23" s="76"/>
      <c r="N23" s="76"/>
      <c r="O23" s="76"/>
      <c r="P23" s="77"/>
      <c r="Q23" s="77"/>
      <c r="R23" s="77"/>
      <c r="S23" s="71"/>
      <c r="U23" s="71"/>
      <c r="V23" s="71"/>
      <c r="W23" s="71"/>
      <c r="X23" s="71"/>
      <c r="Y23" s="71"/>
      <c r="Z23" s="71"/>
      <c r="AA23" s="69"/>
      <c r="AB23" s="69"/>
      <c r="AC23" s="69"/>
      <c r="AD23" s="69"/>
      <c r="AE23" s="69"/>
    </row>
    <row r="24" spans="1:36" s="72" customFormat="1" ht="19.5" customHeight="1">
      <c r="A24" s="75"/>
      <c r="B24" s="75"/>
      <c r="C24" s="73"/>
      <c r="D24" s="80"/>
      <c r="E24" s="80"/>
      <c r="F24" s="80"/>
      <c r="G24" s="81"/>
      <c r="H24" s="81"/>
      <c r="I24" s="81"/>
      <c r="J24" s="81"/>
      <c r="K24" s="81"/>
      <c r="L24" s="76"/>
      <c r="M24" s="76"/>
      <c r="N24" s="76"/>
      <c r="O24" s="76"/>
      <c r="P24" s="77"/>
      <c r="Q24" s="77"/>
      <c r="R24" s="77"/>
      <c r="S24" s="71"/>
      <c r="T24" s="71"/>
      <c r="U24" s="71"/>
      <c r="V24" s="71"/>
      <c r="W24" s="71"/>
      <c r="X24" s="71"/>
      <c r="Y24" s="71"/>
      <c r="Z24" s="71"/>
      <c r="AA24" s="69"/>
      <c r="AB24" s="69"/>
      <c r="AC24" s="69"/>
      <c r="AD24" s="69"/>
      <c r="AE24" s="69"/>
    </row>
    <row r="25" spans="1:36" s="72" customFormat="1">
      <c r="A25" s="75"/>
      <c r="B25" s="75"/>
      <c r="C25" s="73"/>
      <c r="D25" s="78"/>
      <c r="E25" s="78"/>
      <c r="F25" s="78"/>
      <c r="G25" s="82"/>
      <c r="H25" s="82"/>
      <c r="I25" s="82"/>
      <c r="J25" s="82"/>
      <c r="K25" s="82"/>
      <c r="L25" s="76"/>
      <c r="M25" s="76"/>
      <c r="N25" s="76"/>
      <c r="O25" s="76"/>
      <c r="P25" s="77"/>
      <c r="Q25" s="77"/>
      <c r="R25" s="77"/>
      <c r="S25" s="71"/>
      <c r="T25" s="71"/>
      <c r="U25" s="71"/>
      <c r="V25" s="71"/>
      <c r="W25" s="71"/>
      <c r="X25" s="71"/>
      <c r="Y25" s="71"/>
      <c r="Z25" s="71"/>
      <c r="AA25" s="69"/>
      <c r="AB25" s="69"/>
      <c r="AC25" s="69"/>
      <c r="AD25" s="69"/>
      <c r="AE25" s="69"/>
    </row>
    <row r="26" spans="1:36">
      <c r="C26" s="73"/>
    </row>
    <row r="27" spans="1:36">
      <c r="C27" s="73"/>
    </row>
    <row r="28" spans="1:36">
      <c r="C28" s="73"/>
    </row>
  </sheetData>
  <mergeCells count="39">
    <mergeCell ref="AI8:AI9"/>
    <mergeCell ref="AJ8:AJ9"/>
    <mergeCell ref="I8:I9"/>
    <mergeCell ref="Q8:Q9"/>
    <mergeCell ref="W8:W9"/>
    <mergeCell ref="X8:X9"/>
    <mergeCell ref="U8:U9"/>
    <mergeCell ref="V8:V9"/>
    <mergeCell ref="Z8:Z9"/>
    <mergeCell ref="AA8:AA9"/>
    <mergeCell ref="AB8:AB9"/>
    <mergeCell ref="AG8:AG9"/>
    <mergeCell ref="AD8:AD9"/>
    <mergeCell ref="Y8:Y9"/>
    <mergeCell ref="S6:U6"/>
    <mergeCell ref="A8:A10"/>
    <mergeCell ref="C8:C10"/>
    <mergeCell ref="D8:D10"/>
    <mergeCell ref="B8:B10"/>
    <mergeCell ref="C7:D7"/>
    <mergeCell ref="L8:L9"/>
    <mergeCell ref="E8:E9"/>
    <mergeCell ref="F8:F9"/>
    <mergeCell ref="E5:AH5"/>
    <mergeCell ref="G8:G9"/>
    <mergeCell ref="H8:H9"/>
    <mergeCell ref="J8:J9"/>
    <mergeCell ref="K8:K9"/>
    <mergeCell ref="P8:P9"/>
    <mergeCell ref="AC8:AC9"/>
    <mergeCell ref="AE8:AE9"/>
    <mergeCell ref="AF8:AF9"/>
    <mergeCell ref="S8:S9"/>
    <mergeCell ref="AH8:AH9"/>
    <mergeCell ref="T8:T9"/>
    <mergeCell ref="R8:R9"/>
    <mergeCell ref="M8:M9"/>
    <mergeCell ref="N8:N9"/>
    <mergeCell ref="O8:O9"/>
  </mergeCells>
  <conditionalFormatting sqref="C11">
    <cfRule type="duplicateValues" dxfId="3" priority="51"/>
  </conditionalFormatting>
  <conditionalFormatting sqref="C12">
    <cfRule type="duplicateValues" dxfId="2" priority="54"/>
  </conditionalFormatting>
  <conditionalFormatting sqref="C13:C16">
    <cfRule type="duplicateValues" dxfId="1" priority="57"/>
  </conditionalFormatting>
  <conditionalFormatting sqref="C17:D17 C8:D8 C9:C10">
    <cfRule type="duplicateValues" dxfId="0" priority="21"/>
  </conditionalFormatting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comments xmlns="https://web.wps.cn/et/2018/main" xmlns:s="http://schemas.openxmlformats.org/spreadsheetml/2006/main">
  <commentList sheetStid="2">
    <comment s:ref="C6" rgbClr="4FC520"/>
  </commentList>
  <commentList sheetStid="5">
    <comment s:ref="O9" rgbClr="8FC5D0"/>
    <comment s:ref="P9" rgbClr="8FC5D0"/>
    <comment s:ref="Q9" rgbClr="8FC5D0"/>
    <comment s:ref="R9" rgbClr="8FC5D0"/>
  </commentList>
  <commentList sheetStid="10"/>
</comments>
</file>

<file path=customXml/itemProps1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ThongKe</vt:lpstr>
      <vt:lpstr>BẢNG CÔNG </vt:lpstr>
      <vt:lpstr>TĂNG CA</vt:lpstr>
      <vt:lpstr>HOA HỒNG </vt:lpstr>
      <vt:lpstr>BẢNG LƯƠNG</vt:lpstr>
      <vt:lpstr>'BẢNG CÔNG '!Print_Area</vt:lpstr>
      <vt:lpstr>'TĂNG CA'!Print_Area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LE VAN VUONG 20194722</cp:lastModifiedBy>
  <dcterms:created xsi:type="dcterms:W3CDTF">2021-07-19T03:04:00Z</dcterms:created>
  <dcterms:modified xsi:type="dcterms:W3CDTF">2026-07-31T11:29:55Z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7632E3DCD2FA4B49B56C04B22519F56A</vt:lpwstr>
  </property>
  <property fmtid="{D5CDD505-2E9C-101B-9397-08002B2CF9AE}" pid="3" name="KSOProductBuildVer">
    <vt:lpwstr>2052-11.1.0.11830</vt:lpwstr>
  </property>
</Properties>
</file>